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66da1dfb7bc990/Курсы/Комплексный курс/Преподаватель/Занятие_19/"/>
    </mc:Choice>
  </mc:AlternateContent>
  <bookViews>
    <workbookView xWindow="0" yWindow="0" windowWidth="15365" windowHeight="9224" activeTab="2"/>
  </bookViews>
  <sheets>
    <sheet name="Лист2" sheetId="5" r:id="rId1"/>
    <sheet name="База_ОснНачисления" sheetId="1" r:id="rId2"/>
    <sheet name="База_ДопНачисления" sheetId="2" r:id="rId3"/>
    <sheet name="Разрезы" sheetId="3" r:id="rId4"/>
    <sheet name="Лист1" sheetId="4" r:id="rId5"/>
  </sheets>
  <calcPr calcId="162913" refMode="R1C1"/>
</workbook>
</file>

<file path=xl/calcChain.xml><?xml version="1.0" encoding="utf-8"?>
<calcChain xmlns="http://schemas.openxmlformats.org/spreadsheetml/2006/main">
  <c r="J36" i="5" l="1"/>
  <c r="G3" i="5" l="1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12" i="5"/>
  <c r="G7" i="5"/>
  <c r="G8" i="5"/>
  <c r="G9" i="5"/>
  <c r="G6" i="5"/>
  <c r="G5" i="5"/>
  <c r="G4" i="5"/>
  <c r="G11" i="5"/>
  <c r="H55" i="1" l="1"/>
  <c r="H50" i="1"/>
  <c r="H47" i="1"/>
  <c r="H44" i="1"/>
</calcChain>
</file>

<file path=xl/sharedStrings.xml><?xml version="1.0" encoding="utf-8"?>
<sst xmlns="http://schemas.openxmlformats.org/spreadsheetml/2006/main" count="584" uniqueCount="68">
  <si>
    <t>Набор записей РР "Основные начисления"</t>
  </si>
  <si>
    <t>Физическое лицо</t>
  </si>
  <si>
    <t>Вид Расчета</t>
  </si>
  <si>
    <t>Базовый период</t>
  </si>
  <si>
    <t>Размер</t>
  </si>
  <si>
    <t>Результат</t>
  </si>
  <si>
    <t>РезультатБаза</t>
  </si>
  <si>
    <t>Иванова</t>
  </si>
  <si>
    <t>Оклад</t>
  </si>
  <si>
    <t>1</t>
  </si>
  <si>
    <t>ДВ</t>
  </si>
  <si>
    <t>01/12</t>
  </si>
  <si>
    <t>31/12</t>
  </si>
  <si>
    <t>ПН</t>
  </si>
  <si>
    <t>Баранов</t>
  </si>
  <si>
    <t>05/12</t>
  </si>
  <si>
    <t xml:space="preserve">Клиент </t>
  </si>
  <si>
    <t>БД</t>
  </si>
  <si>
    <t>Регистр расчета "Основные начисления"</t>
  </si>
  <si>
    <t>ПР</t>
  </si>
  <si>
    <t>Начальник</t>
  </si>
  <si>
    <t>ФПД</t>
  </si>
  <si>
    <t>Отработано дней</t>
  </si>
  <si>
    <t>Октябрь</t>
  </si>
  <si>
    <t>Базовый регистр - это регистр, где собирается база</t>
  </si>
  <si>
    <t>Основной регистр - это регистр в котором происходить расчет</t>
  </si>
  <si>
    <t>Ноябрь</t>
  </si>
  <si>
    <t>Декабрь</t>
  </si>
  <si>
    <t>План видов расчета "Основные начисления</t>
  </si>
  <si>
    <t>Вид расчета</t>
  </si>
  <si>
    <t>Базовые виды расчета</t>
  </si>
  <si>
    <t>План Видов расчета</t>
  </si>
  <si>
    <t>Основные начисления</t>
  </si>
  <si>
    <t>Регистр расчета "Управленческие начисления "</t>
  </si>
  <si>
    <t>Набор записей РР "Дополнительные начисления"</t>
  </si>
  <si>
    <t>Сотрудник</t>
  </si>
  <si>
    <t>Результат дополн.</t>
  </si>
  <si>
    <t>Премия Суммой</t>
  </si>
  <si>
    <t>Премия Процентом</t>
  </si>
  <si>
    <t>Регистр Регистр "Основные начисления"</t>
  </si>
  <si>
    <t>Регистр Регистр "Дополнительные начисления"</t>
  </si>
  <si>
    <t>План видов расчета "Дополнительные начисления"</t>
  </si>
  <si>
    <t>Премия суммой</t>
  </si>
  <si>
    <t>Премия процентом</t>
  </si>
  <si>
    <t>Дополнительные начисления</t>
  </si>
  <si>
    <t>Регистр Регистр "Основные начисления управленческие"</t>
  </si>
  <si>
    <t>Регистр Регистр "Дополнительные начисления управленческие"</t>
  </si>
  <si>
    <t>Период действия</t>
  </si>
  <si>
    <t>Основной регистр "Основные начисления"</t>
  </si>
  <si>
    <t>ИФ</t>
  </si>
  <si>
    <t>распределить пропорционально</t>
  </si>
  <si>
    <t>Бюджет</t>
  </si>
  <si>
    <t>Кредит</t>
  </si>
  <si>
    <t>Базовый Регистр "Основные начисления"</t>
  </si>
  <si>
    <t>Иванов</t>
  </si>
  <si>
    <t>Петров</t>
  </si>
  <si>
    <t>Сидоров</t>
  </si>
  <si>
    <t>Абрамович</t>
  </si>
  <si>
    <t>ПД</t>
  </si>
  <si>
    <t>ФПДН</t>
  </si>
  <si>
    <t>ФПДК</t>
  </si>
  <si>
    <t>БПН</t>
  </si>
  <si>
    <t>БПК</t>
  </si>
  <si>
    <t>Иванцева</t>
  </si>
  <si>
    <t>оклад</t>
  </si>
  <si>
    <t>-</t>
  </si>
  <si>
    <t>БЛ</t>
  </si>
  <si>
    <t>Мат. Помощь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</si>
</sst>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,##0.00&quot;р.&quot;"/>
  </numFmts>
  <fonts count="17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sz val="8"/>
      <name val="Arial Cyr"/>
      <charset val="204"/>
    </font>
    <font>
      <b/>
      <u/>
      <sz val="10"/>
      <name val="Arial Cyr"/>
      <charset val="204"/>
    </font>
    <font>
      <b/>
      <sz val="10"/>
      <color indexed="10"/>
      <name val="Arial Cyr"/>
      <charset val="204"/>
    </font>
    <font>
      <b/>
      <sz val="10"/>
      <color indexed="12"/>
      <name val="Arial Cyr"/>
      <charset val="204"/>
    </font>
    <font>
      <b/>
      <sz val="10"/>
      <color indexed="17"/>
      <name val="Arial Cyr"/>
      <charset val="204"/>
    </font>
    <font>
      <b/>
      <sz val="10"/>
      <color indexed="16"/>
      <name val="Arial Cyr"/>
      <charset val="204"/>
    </font>
    <font>
      <b/>
      <u/>
      <sz val="10"/>
      <color rgb="FF00B050"/>
      <name val="Arial Cyr"/>
      <charset val="204"/>
    </font>
    <font>
      <b/>
      <sz val="10"/>
      <color rgb="FF002060"/>
      <name val="Arial Cyr"/>
      <charset val="204"/>
    </font>
    <font>
      <i/>
      <sz val="10"/>
      <color rgb="FF0070C0"/>
      <name val="Arial Cyr"/>
      <charset val="204"/>
    </font>
    <font>
      <i/>
      <sz val="10"/>
      <color rgb="FF00B050"/>
      <name val="Arial Cyr"/>
      <charset val="204"/>
    </font>
    <font>
      <b/>
      <sz val="10"/>
      <color rgb="FFFF0000"/>
      <name val="Arial Cyr"/>
      <charset val="204"/>
    </font>
    <font>
      <sz val="10"/>
      <color rgb="FFFF0000"/>
      <name val="Arial Cyr"/>
      <charset val="204"/>
    </font>
    <font>
      <sz val="10"/>
      <color rgb="FFC00000"/>
      <name val="Arial Cyr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2" borderId="1" xfId="0" applyNumberForma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2" fillId="0" borderId="3" xfId="0" applyFont="1" applyBorder="1"/>
    <xf numFmtId="0" fontId="0" fillId="5" borderId="2" xfId="0" applyFill="1" applyBorder="1"/>
    <xf numFmtId="0" fontId="0" fillId="0" borderId="4" xfId="0" applyBorder="1"/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0" fontId="0" fillId="5" borderId="4" xfId="0" applyFill="1" applyBorder="1"/>
    <xf numFmtId="0" fontId="0" fillId="3" borderId="5" xfId="0" applyFill="1" applyBorder="1"/>
    <xf numFmtId="0" fontId="2" fillId="0" borderId="6" xfId="0" applyFont="1" applyBorder="1"/>
    <xf numFmtId="0" fontId="0" fillId="6" borderId="2" xfId="0" applyFill="1" applyBorder="1"/>
    <xf numFmtId="0" fontId="0" fillId="6" borderId="1" xfId="0" applyFill="1" applyBorder="1"/>
    <xf numFmtId="49" fontId="0" fillId="6" borderId="1" xfId="0" applyNumberFormat="1" applyFill="1" applyBorder="1"/>
    <xf numFmtId="49" fontId="0" fillId="2" borderId="5" xfId="0" applyNumberFormat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6" fillId="0" borderId="3" xfId="0" applyFont="1" applyFill="1" applyBorder="1"/>
    <xf numFmtId="0" fontId="6" fillId="0" borderId="1" xfId="0" applyFont="1" applyBorder="1"/>
    <xf numFmtId="0" fontId="6" fillId="0" borderId="3" xfId="0" applyFont="1" applyBorder="1"/>
    <xf numFmtId="0" fontId="7" fillId="0" borderId="6" xfId="0" applyFont="1" applyBorder="1"/>
    <xf numFmtId="0" fontId="7" fillId="0" borderId="1" xfId="0" applyFont="1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49" fontId="0" fillId="0" borderId="1" xfId="0" applyNumberFormat="1" applyFill="1" applyBorder="1"/>
    <xf numFmtId="0" fontId="0" fillId="3" borderId="0" xfId="0" applyFill="1"/>
    <xf numFmtId="0" fontId="0" fillId="7" borderId="1" xfId="0" applyFill="1" applyBorder="1"/>
    <xf numFmtId="0" fontId="0" fillId="7" borderId="0" xfId="0" applyFill="1"/>
    <xf numFmtId="0" fontId="0" fillId="7" borderId="5" xfId="0" applyFill="1" applyBorder="1" applyAlignment="1">
      <alignment wrapText="1"/>
    </xf>
    <xf numFmtId="0" fontId="0" fillId="7" borderId="5" xfId="0" applyFill="1" applyBorder="1"/>
    <xf numFmtId="0" fontId="0" fillId="4" borderId="0" xfId="0" applyFill="1"/>
    <xf numFmtId="0" fontId="0" fillId="8" borderId="0" xfId="0" applyFill="1"/>
    <xf numFmtId="0" fontId="2" fillId="0" borderId="1" xfId="0" applyFont="1" applyBorder="1"/>
    <xf numFmtId="0" fontId="0" fillId="8" borderId="1" xfId="0" applyFill="1" applyBorder="1"/>
    <xf numFmtId="0" fontId="2" fillId="0" borderId="9" xfId="0" applyFont="1" applyFill="1" applyBorder="1" applyAlignment="1">
      <alignment horizontal="center" wrapText="1"/>
    </xf>
    <xf numFmtId="0" fontId="1" fillId="0" borderId="1" xfId="0" applyFont="1" applyBorder="1"/>
    <xf numFmtId="0" fontId="2" fillId="0" borderId="5" xfId="0" applyFont="1" applyBorder="1"/>
    <xf numFmtId="49" fontId="0" fillId="0" borderId="0" xfId="0" applyNumberFormat="1"/>
    <xf numFmtId="49" fontId="0" fillId="3" borderId="1" xfId="0" applyNumberFormat="1" applyFill="1" applyBorder="1"/>
    <xf numFmtId="49" fontId="0" fillId="4" borderId="2" xfId="0" applyNumberFormat="1" applyFill="1" applyBorder="1"/>
    <xf numFmtId="0" fontId="0" fillId="0" borderId="0" xfId="0" applyFill="1"/>
    <xf numFmtId="0" fontId="0" fillId="0" borderId="2" xfId="0" applyFont="1" applyFill="1" applyBorder="1"/>
    <xf numFmtId="0" fontId="0" fillId="0" borderId="1" xfId="0" applyFont="1" applyFill="1" applyBorder="1"/>
    <xf numFmtId="0" fontId="2" fillId="0" borderId="3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2" fillId="0" borderId="6" xfId="0" applyFont="1" applyFill="1" applyBorder="1"/>
    <xf numFmtId="0" fontId="2" fillId="0" borderId="1" xfId="0" applyFont="1" applyFill="1" applyBorder="1"/>
    <xf numFmtId="9" fontId="0" fillId="0" borderId="1" xfId="0" applyNumberFormat="1" applyBorder="1"/>
    <xf numFmtId="164" fontId="0" fillId="0" borderId="3" xfId="0" applyNumberFormat="1" applyBorder="1"/>
    <xf numFmtId="164" fontId="2" fillId="0" borderId="3" xfId="0" applyNumberFormat="1" applyFont="1" applyFill="1" applyBorder="1"/>
    <xf numFmtId="164" fontId="0" fillId="0" borderId="3" xfId="0" applyNumberFormat="1" applyFont="1" applyFill="1" applyBorder="1"/>
    <xf numFmtId="164" fontId="2" fillId="0" borderId="6" xfId="0" applyNumberFormat="1" applyFont="1" applyFill="1" applyBorder="1"/>
    <xf numFmtId="164" fontId="2" fillId="0" borderId="3" xfId="0" applyNumberFormat="1" applyFont="1" applyBorder="1"/>
    <xf numFmtId="164" fontId="2" fillId="0" borderId="6" xfId="0" applyNumberFormat="1" applyFont="1" applyBorder="1"/>
    <xf numFmtId="0" fontId="10" fillId="0" borderId="25" xfId="0" applyFont="1" applyBorder="1" applyAlignment="1">
      <alignment horizontal="center" wrapText="1"/>
    </xf>
    <xf numFmtId="165" fontId="0" fillId="0" borderId="11" xfId="0" applyNumberFormat="1" applyBorder="1"/>
    <xf numFmtId="165" fontId="2" fillId="0" borderId="11" xfId="0" applyNumberFormat="1" applyFont="1" applyBorder="1"/>
    <xf numFmtId="165" fontId="2" fillId="0" borderId="13" xfId="0" applyNumberFormat="1" applyFont="1" applyBorder="1"/>
    <xf numFmtId="0" fontId="10" fillId="0" borderId="1" xfId="0" applyFont="1" applyFill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0" fillId="0" borderId="12" xfId="0" applyBorder="1"/>
    <xf numFmtId="0" fontId="0" fillId="4" borderId="12" xfId="0" applyFill="1" applyBorder="1"/>
    <xf numFmtId="0" fontId="0" fillId="5" borderId="14" xfId="0" applyFill="1" applyBorder="1"/>
    <xf numFmtId="0" fontId="2" fillId="0" borderId="1" xfId="0" applyFont="1" applyBorder="1" applyAlignment="1">
      <alignment horizontal="center" wrapText="1"/>
    </xf>
    <xf numFmtId="0" fontId="11" fillId="9" borderId="3" xfId="0" applyFont="1" applyFill="1" applyBorder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0" fillId="0" borderId="7" xfId="0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3" borderId="7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0" xfId="0" applyFill="1"/>
    <xf numFmtId="0" fontId="2" fillId="11" borderId="1" xfId="0" applyFont="1" applyFill="1" applyBorder="1" applyAlignment="1">
      <alignment horizontal="center"/>
    </xf>
    <xf numFmtId="0" fontId="0" fillId="11" borderId="0" xfId="0" applyFill="1"/>
    <xf numFmtId="0" fontId="2" fillId="12" borderId="1" xfId="0" applyFont="1" applyFill="1" applyBorder="1" applyAlignment="1">
      <alignment horizontal="center"/>
    </xf>
    <xf numFmtId="0" fontId="0" fillId="12" borderId="0" xfId="0" applyFill="1"/>
    <xf numFmtId="0" fontId="2" fillId="13" borderId="1" xfId="0" applyFont="1" applyFill="1" applyBorder="1" applyAlignment="1">
      <alignment horizontal="center"/>
    </xf>
    <xf numFmtId="0" fontId="0" fillId="13" borderId="0" xfId="0" applyFont="1" applyFill="1"/>
    <xf numFmtId="14" fontId="0" fillId="13" borderId="0" xfId="0" applyNumberFormat="1" applyFont="1" applyFill="1"/>
    <xf numFmtId="14" fontId="0" fillId="10" borderId="0" xfId="0" applyNumberFormat="1" applyFill="1"/>
    <xf numFmtId="14" fontId="0" fillId="11" borderId="0" xfId="0" applyNumberFormat="1" applyFill="1"/>
    <xf numFmtId="14" fontId="12" fillId="13" borderId="0" xfId="0" applyNumberFormat="1" applyFont="1" applyFill="1"/>
    <xf numFmtId="0" fontId="12" fillId="0" borderId="0" xfId="0" applyFont="1"/>
    <xf numFmtId="14" fontId="12" fillId="10" borderId="0" xfId="0" applyNumberFormat="1" applyFont="1" applyFill="1"/>
    <xf numFmtId="14" fontId="12" fillId="11" borderId="0" xfId="0" applyNumberFormat="1" applyFont="1" applyFill="1"/>
    <xf numFmtId="0" fontId="12" fillId="12" borderId="0" xfId="0" applyFont="1" applyFill="1"/>
    <xf numFmtId="14" fontId="13" fillId="13" borderId="0" xfId="0" applyNumberFormat="1" applyFont="1" applyFill="1"/>
    <xf numFmtId="0" fontId="13" fillId="0" borderId="0" xfId="0" applyFont="1"/>
    <xf numFmtId="14" fontId="13" fillId="10" borderId="0" xfId="0" applyNumberFormat="1" applyFont="1" applyFill="1"/>
    <xf numFmtId="14" fontId="13" fillId="11" borderId="0" xfId="0" applyNumberFormat="1" applyFont="1" applyFill="1"/>
    <xf numFmtId="14" fontId="13" fillId="12" borderId="0" xfId="0" applyNumberFormat="1" applyFont="1" applyFill="1"/>
    <xf numFmtId="14" fontId="2" fillId="13" borderId="0" xfId="0" applyNumberFormat="1" applyFont="1" applyFill="1" applyBorder="1" applyAlignment="1">
      <alignment horizontal="center"/>
    </xf>
    <xf numFmtId="14" fontId="0" fillId="13" borderId="27" xfId="0" applyNumberFormat="1" applyFont="1" applyFill="1" applyBorder="1"/>
    <xf numFmtId="0" fontId="0" fillId="0" borderId="29" xfId="0" applyBorder="1"/>
    <xf numFmtId="14" fontId="0" fillId="10" borderId="29" xfId="0" applyNumberFormat="1" applyFill="1" applyBorder="1"/>
    <xf numFmtId="0" fontId="0" fillId="12" borderId="29" xfId="0" applyFill="1" applyBorder="1"/>
    <xf numFmtId="0" fontId="0" fillId="0" borderId="28" xfId="0" applyBorder="1"/>
    <xf numFmtId="14" fontId="0" fillId="13" borderId="15" xfId="0" applyNumberFormat="1" applyFont="1" applyFill="1" applyBorder="1"/>
    <xf numFmtId="0" fontId="0" fillId="0" borderId="16" xfId="0" applyBorder="1"/>
    <xf numFmtId="14" fontId="0" fillId="10" borderId="16" xfId="0" applyNumberFormat="1" applyFill="1" applyBorder="1"/>
    <xf numFmtId="0" fontId="0" fillId="12" borderId="16" xfId="0" applyFill="1" applyBorder="1"/>
    <xf numFmtId="0" fontId="0" fillId="0" borderId="17" xfId="0" applyBorder="1"/>
    <xf numFmtId="14" fontId="0" fillId="13" borderId="30" xfId="0" applyNumberFormat="1" applyFont="1" applyFill="1" applyBorder="1"/>
    <xf numFmtId="0" fontId="0" fillId="0" borderId="0" xfId="0" applyBorder="1"/>
    <xf numFmtId="14" fontId="0" fillId="10" borderId="0" xfId="0" applyNumberFormat="1" applyFill="1" applyBorder="1"/>
    <xf numFmtId="0" fontId="0" fillId="12" borderId="0" xfId="0" applyFill="1" applyBorder="1"/>
    <xf numFmtId="0" fontId="0" fillId="0" borderId="31" xfId="0" applyBorder="1"/>
    <xf numFmtId="14" fontId="0" fillId="13" borderId="18" xfId="0" applyNumberFormat="1" applyFont="1" applyFill="1" applyBorder="1"/>
    <xf numFmtId="0" fontId="0" fillId="0" borderId="19" xfId="0" applyBorder="1"/>
    <xf numFmtId="14" fontId="0" fillId="10" borderId="19" xfId="0" applyNumberFormat="1" applyFill="1" applyBorder="1"/>
    <xf numFmtId="0" fontId="0" fillId="12" borderId="19" xfId="0" applyFill="1" applyBorder="1"/>
    <xf numFmtId="0" fontId="0" fillId="0" borderId="20" xfId="0" applyBorder="1"/>
    <xf numFmtId="14" fontId="14" fillId="12" borderId="18" xfId="0" applyNumberFormat="1" applyFont="1" applyFill="1" applyBorder="1"/>
    <xf numFmtId="14" fontId="14" fillId="12" borderId="20" xfId="0" applyNumberFormat="1" applyFont="1" applyFill="1" applyBorder="1"/>
    <xf numFmtId="14" fontId="15" fillId="11" borderId="29" xfId="0" applyNumberFormat="1" applyFont="1" applyFill="1" applyBorder="1"/>
    <xf numFmtId="14" fontId="15" fillId="11" borderId="16" xfId="0" applyNumberFormat="1" applyFont="1" applyFill="1" applyBorder="1"/>
    <xf numFmtId="14" fontId="15" fillId="11" borderId="0" xfId="0" applyNumberFormat="1" applyFont="1" applyFill="1" applyBorder="1"/>
    <xf numFmtId="14" fontId="15" fillId="11" borderId="19" xfId="0" applyNumberFormat="1" applyFont="1" applyFill="1" applyBorder="1"/>
    <xf numFmtId="14" fontId="0" fillId="13" borderId="32" xfId="0" applyNumberFormat="1" applyFont="1" applyFill="1" applyBorder="1"/>
    <xf numFmtId="0" fontId="0" fillId="0" borderId="33" xfId="0" applyBorder="1"/>
    <xf numFmtId="14" fontId="0" fillId="10" borderId="33" xfId="0" applyNumberFormat="1" applyFill="1" applyBorder="1"/>
    <xf numFmtId="0" fontId="0" fillId="12" borderId="33" xfId="0" applyFill="1" applyBorder="1"/>
    <xf numFmtId="0" fontId="0" fillId="0" borderId="34" xfId="0" applyBorder="1"/>
    <xf numFmtId="14" fontId="0" fillId="13" borderId="35" xfId="0" applyNumberFormat="1" applyFont="1" applyFill="1" applyBorder="1"/>
    <xf numFmtId="0" fontId="0" fillId="0" borderId="36" xfId="0" applyBorder="1"/>
    <xf numFmtId="14" fontId="0" fillId="13" borderId="25" xfId="0" applyNumberFormat="1" applyFont="1" applyFill="1" applyBorder="1"/>
    <xf numFmtId="0" fontId="0" fillId="0" borderId="37" xfId="0" applyBorder="1"/>
    <xf numFmtId="14" fontId="0" fillId="10" borderId="37" xfId="0" applyNumberFormat="1" applyFill="1" applyBorder="1"/>
    <xf numFmtId="0" fontId="0" fillId="12" borderId="37" xfId="0" applyFill="1" applyBorder="1"/>
    <xf numFmtId="0" fontId="0" fillId="0" borderId="26" xfId="0" applyBorder="1"/>
    <xf numFmtId="14" fontId="16" fillId="11" borderId="33" xfId="0" applyNumberFormat="1" applyFont="1" applyFill="1" applyBorder="1"/>
    <xf numFmtId="14" fontId="16" fillId="11" borderId="0" xfId="0" applyNumberFormat="1" applyFont="1" applyFill="1" applyBorder="1"/>
    <xf numFmtId="14" fontId="16" fillId="11" borderId="37" xfId="0" applyNumberFormat="1" applyFont="1" applyFill="1" applyBorder="1"/>
    <xf numFmtId="49" fontId="0" fillId="2" borderId="11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49" fontId="0" fillId="0" borderId="11" xfId="0" applyNumberFormat="1" applyFont="1" applyFill="1" applyBorder="1" applyAlignment="1">
      <alignment horizontal="center"/>
    </xf>
    <xf numFmtId="49" fontId="0" fillId="0" borderId="12" xfId="0" applyNumberFormat="1" applyFont="1" applyFill="1" applyBorder="1" applyAlignment="1">
      <alignment horizontal="center"/>
    </xf>
    <xf numFmtId="49" fontId="0" fillId="0" borderId="13" xfId="0" applyNumberFormat="1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left" vertical="center" wrapText="1"/>
    </xf>
    <xf numFmtId="0" fontId="0" fillId="7" borderId="21" xfId="0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28</xdr:row>
      <xdr:rowOff>114300</xdr:rowOff>
    </xdr:from>
    <xdr:to>
      <xdr:col>10</xdr:col>
      <xdr:colOff>581025</xdr:colOff>
      <xdr:row>34</xdr:row>
      <xdr:rowOff>38100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9255" y="5173980"/>
          <a:ext cx="2430483" cy="94667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28</xdr:row>
      <xdr:rowOff>123825</xdr:rowOff>
    </xdr:from>
    <xdr:to>
      <xdr:col>15</xdr:col>
      <xdr:colOff>285750</xdr:colOff>
      <xdr:row>34</xdr:row>
      <xdr:rowOff>66675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6240" y="5187315"/>
          <a:ext cx="2653335" cy="969527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34</xdr:row>
      <xdr:rowOff>57150</xdr:rowOff>
    </xdr:from>
    <xdr:to>
      <xdr:col>10</xdr:col>
      <xdr:colOff>95250</xdr:colOff>
      <xdr:row>39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9260" y="6141720"/>
          <a:ext cx="1897545" cy="823031"/>
        </a:xfrm>
        <a:prstGeom prst="rect">
          <a:avLst/>
        </a:prstGeom>
      </xdr:spPr>
    </xdr:pic>
    <xdr:clientData/>
  </xdr:twoCellAnchor>
  <xdr:twoCellAnchor>
    <xdr:from>
      <xdr:col>3</xdr:col>
      <xdr:colOff>362309</xdr:colOff>
      <xdr:row>10</xdr:row>
      <xdr:rowOff>39897</xdr:rowOff>
    </xdr:from>
    <xdr:to>
      <xdr:col>3</xdr:col>
      <xdr:colOff>363391</xdr:colOff>
      <xdr:row>14</xdr:row>
      <xdr:rowOff>112143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2415396" y="1877323"/>
          <a:ext cx="1082" cy="770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27</xdr:row>
      <xdr:rowOff>85725</xdr:rowOff>
    </xdr:from>
    <xdr:to>
      <xdr:col>10</xdr:col>
      <xdr:colOff>466725</xdr:colOff>
      <xdr:row>34</xdr:row>
      <xdr:rowOff>276225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4848225"/>
          <a:ext cx="2990476" cy="1838095"/>
        </a:xfrm>
        <a:prstGeom prst="rect">
          <a:avLst/>
        </a:prstGeom>
      </xdr:spPr>
    </xdr:pic>
    <xdr:clientData/>
  </xdr:twoCellAnchor>
  <xdr:twoCellAnchor>
    <xdr:from>
      <xdr:col>3</xdr:col>
      <xdr:colOff>422694</xdr:colOff>
      <xdr:row>8</xdr:row>
      <xdr:rowOff>69011</xdr:rowOff>
    </xdr:from>
    <xdr:to>
      <xdr:col>3</xdr:col>
      <xdr:colOff>474453</xdr:colOff>
      <xdr:row>13</xdr:row>
      <xdr:rowOff>94891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3165894" y="1587260"/>
          <a:ext cx="51759" cy="862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103517</xdr:colOff>
      <xdr:row>8</xdr:row>
      <xdr:rowOff>69011</xdr:rowOff>
    </xdr:from>
    <xdr:to>
      <xdr:col>10</xdr:col>
      <xdr:colOff>396815</xdr:colOff>
      <xdr:row>13</xdr:row>
      <xdr:rowOff>189781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3338423" y="1587260"/>
          <a:ext cx="4873924" cy="957532"/>
        </a:xfrm>
        <a:prstGeom prst="straightConnector1">
          <a:avLst/>
        </a:prstGeom>
        <a:ln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workbookViewId="0">
      <selection activeCell="A22" sqref="A22"/>
    </sheetView>
  </sheetViews>
  <sheetFormatPr defaultRowHeight="12.9" x14ac:dyDescent="0.2"/>
  <cols>
    <col min="2" max="2" width="10.375" style="92" bestFit="1" customWidth="1"/>
    <col min="3" max="3" width="12.75" customWidth="1"/>
    <col min="4" max="4" width="14" customWidth="1"/>
    <col min="5" max="5" width="10.375" style="86" bestFit="1" customWidth="1"/>
    <col min="6" max="6" width="10.25" style="88" customWidth="1"/>
    <col min="7" max="7" width="10.375" style="88" customWidth="1"/>
    <col min="8" max="8" width="10.375" style="90" customWidth="1"/>
    <col min="9" max="9" width="11.125" style="90" customWidth="1"/>
    <col min="10" max="10" width="10.375" customWidth="1"/>
  </cols>
  <sheetData>
    <row r="2" spans="2:10" ht="13.6" x14ac:dyDescent="0.25">
      <c r="B2" s="91" t="s">
        <v>19</v>
      </c>
      <c r="C2" s="84" t="s">
        <v>35</v>
      </c>
      <c r="D2" s="84" t="s">
        <v>29</v>
      </c>
      <c r="E2" s="85" t="s">
        <v>58</v>
      </c>
      <c r="F2" s="87" t="s">
        <v>59</v>
      </c>
      <c r="G2" s="87" t="s">
        <v>60</v>
      </c>
      <c r="H2" s="89" t="s">
        <v>61</v>
      </c>
      <c r="I2" s="89" t="s">
        <v>62</v>
      </c>
      <c r="J2" s="43" t="s">
        <v>5</v>
      </c>
    </row>
    <row r="3" spans="2:10" ht="14.3" thickBot="1" x14ac:dyDescent="0.3">
      <c r="B3" s="106">
        <v>41609</v>
      </c>
      <c r="C3" t="s">
        <v>63</v>
      </c>
      <c r="D3" t="s">
        <v>64</v>
      </c>
      <c r="E3" s="94">
        <v>41609</v>
      </c>
      <c r="F3" s="95">
        <v>41609</v>
      </c>
      <c r="G3" s="95">
        <f>EOMONTH(F3,0)</f>
        <v>41639</v>
      </c>
      <c r="H3" s="90" t="s">
        <v>65</v>
      </c>
      <c r="I3" s="90" t="s">
        <v>65</v>
      </c>
      <c r="J3">
        <v>9999</v>
      </c>
    </row>
    <row r="4" spans="2:10" ht="13.6" thickBot="1" x14ac:dyDescent="0.25">
      <c r="B4" s="107">
        <v>41640</v>
      </c>
      <c r="C4" s="108" t="s">
        <v>63</v>
      </c>
      <c r="D4" s="108" t="s">
        <v>64</v>
      </c>
      <c r="E4" s="109">
        <v>41640</v>
      </c>
      <c r="F4" s="129">
        <v>41640</v>
      </c>
      <c r="G4" s="129">
        <f>EOMONTH(F4,0)</f>
        <v>41670</v>
      </c>
      <c r="H4" s="110" t="s">
        <v>65</v>
      </c>
      <c r="I4" s="110" t="s">
        <v>65</v>
      </c>
      <c r="J4" s="111">
        <v>10000</v>
      </c>
    </row>
    <row r="5" spans="2:10" ht="13.6" thickBot="1" x14ac:dyDescent="0.25">
      <c r="B5" s="96">
        <v>41640</v>
      </c>
      <c r="C5" s="97" t="s">
        <v>63</v>
      </c>
      <c r="D5" s="97" t="s">
        <v>67</v>
      </c>
      <c r="E5" s="98">
        <v>41640</v>
      </c>
      <c r="F5" s="99">
        <v>41640</v>
      </c>
      <c r="G5" s="99">
        <f>EOMONTH(F5,0)</f>
        <v>41670</v>
      </c>
      <c r="H5" s="100" t="s">
        <v>65</v>
      </c>
      <c r="I5" s="100" t="s">
        <v>65</v>
      </c>
      <c r="J5" s="97">
        <v>1000</v>
      </c>
    </row>
    <row r="6" spans="2:10" x14ac:dyDescent="0.2">
      <c r="B6" s="112">
        <v>41699</v>
      </c>
      <c r="C6" s="113" t="s">
        <v>63</v>
      </c>
      <c r="D6" s="113" t="s">
        <v>64</v>
      </c>
      <c r="E6" s="114">
        <v>41671</v>
      </c>
      <c r="F6" s="130">
        <v>41671</v>
      </c>
      <c r="G6" s="130">
        <f>EOMONTH(F6,0)</f>
        <v>41698</v>
      </c>
      <c r="H6" s="115" t="s">
        <v>65</v>
      </c>
      <c r="I6" s="115" t="s">
        <v>65</v>
      </c>
      <c r="J6" s="116">
        <v>10000</v>
      </c>
    </row>
    <row r="7" spans="2:10" x14ac:dyDescent="0.2">
      <c r="B7" s="117">
        <v>41699</v>
      </c>
      <c r="C7" s="118" t="s">
        <v>63</v>
      </c>
      <c r="D7" s="118" t="s">
        <v>64</v>
      </c>
      <c r="E7" s="119">
        <v>41699</v>
      </c>
      <c r="F7" s="131">
        <v>41699</v>
      </c>
      <c r="G7" s="131">
        <f t="shared" ref="G7:G9" si="0">EOMONTH(F7,0)</f>
        <v>41729</v>
      </c>
      <c r="H7" s="120" t="s">
        <v>65</v>
      </c>
      <c r="I7" s="120" t="s">
        <v>65</v>
      </c>
      <c r="J7" s="121">
        <v>10000</v>
      </c>
    </row>
    <row r="8" spans="2:10" x14ac:dyDescent="0.2">
      <c r="B8" s="117">
        <v>41730</v>
      </c>
      <c r="C8" s="118" t="s">
        <v>63</v>
      </c>
      <c r="D8" s="118" t="s">
        <v>64</v>
      </c>
      <c r="E8" s="119">
        <v>41730</v>
      </c>
      <c r="F8" s="131">
        <v>41730</v>
      </c>
      <c r="G8" s="131">
        <f t="shared" si="0"/>
        <v>41759</v>
      </c>
      <c r="H8" s="120" t="s">
        <v>65</v>
      </c>
      <c r="I8" s="120" t="s">
        <v>65</v>
      </c>
      <c r="J8" s="121">
        <v>10000</v>
      </c>
    </row>
    <row r="9" spans="2:10" x14ac:dyDescent="0.2">
      <c r="B9" s="117">
        <v>41760</v>
      </c>
      <c r="C9" s="118" t="s">
        <v>63</v>
      </c>
      <c r="D9" s="118" t="s">
        <v>64</v>
      </c>
      <c r="E9" s="119">
        <v>41760</v>
      </c>
      <c r="F9" s="131">
        <v>41760</v>
      </c>
      <c r="G9" s="131">
        <f t="shared" si="0"/>
        <v>41790</v>
      </c>
      <c r="H9" s="120" t="s">
        <v>65</v>
      </c>
      <c r="I9" s="120" t="s">
        <v>65</v>
      </c>
      <c r="J9" s="121">
        <v>10000</v>
      </c>
    </row>
    <row r="10" spans="2:10" ht="13.6" thickBot="1" x14ac:dyDescent="0.25">
      <c r="B10" s="122">
        <v>41791</v>
      </c>
      <c r="C10" s="123" t="s">
        <v>63</v>
      </c>
      <c r="D10" s="123" t="s">
        <v>64</v>
      </c>
      <c r="E10" s="124">
        <v>41791</v>
      </c>
      <c r="F10" s="132">
        <v>41791</v>
      </c>
      <c r="G10" s="132">
        <v>41809</v>
      </c>
      <c r="H10" s="125" t="s">
        <v>65</v>
      </c>
      <c r="I10" s="125" t="s">
        <v>65</v>
      </c>
      <c r="J10" s="126">
        <v>6000</v>
      </c>
    </row>
    <row r="11" spans="2:10" ht="13.6" thickBot="1" x14ac:dyDescent="0.25">
      <c r="B11" s="101">
        <v>41791</v>
      </c>
      <c r="C11" s="102" t="s">
        <v>63</v>
      </c>
      <c r="D11" s="102" t="s">
        <v>66</v>
      </c>
      <c r="E11" s="103">
        <v>41791</v>
      </c>
      <c r="F11" s="104">
        <v>41810</v>
      </c>
      <c r="G11" s="104">
        <f t="shared" ref="G11" si="1">EOMONTH(F11,1)</f>
        <v>41851</v>
      </c>
      <c r="H11" s="105">
        <v>40909</v>
      </c>
      <c r="I11" s="105">
        <v>41639</v>
      </c>
      <c r="J11" s="102">
        <v>3000</v>
      </c>
    </row>
    <row r="12" spans="2:10" x14ac:dyDescent="0.2">
      <c r="B12" s="112">
        <v>41821</v>
      </c>
      <c r="C12" s="113" t="s">
        <v>63</v>
      </c>
      <c r="D12" s="113" t="s">
        <v>64</v>
      </c>
      <c r="E12" s="114">
        <v>41821</v>
      </c>
      <c r="F12" s="130">
        <v>41821</v>
      </c>
      <c r="G12" s="130">
        <f>EOMONTH(F12,0)</f>
        <v>41851</v>
      </c>
      <c r="H12" s="115" t="s">
        <v>65</v>
      </c>
      <c r="I12" s="115" t="s">
        <v>65</v>
      </c>
      <c r="J12" s="116">
        <v>10000</v>
      </c>
    </row>
    <row r="13" spans="2:10" x14ac:dyDescent="0.2">
      <c r="B13" s="117">
        <v>41852</v>
      </c>
      <c r="C13" s="118" t="s">
        <v>63</v>
      </c>
      <c r="D13" s="118" t="s">
        <v>64</v>
      </c>
      <c r="E13" s="119">
        <v>41852</v>
      </c>
      <c r="F13" s="131">
        <v>41852</v>
      </c>
      <c r="G13" s="131">
        <f t="shared" ref="G13:G36" si="2">EOMONTH(F13,0)</f>
        <v>41882</v>
      </c>
      <c r="H13" s="120" t="s">
        <v>65</v>
      </c>
      <c r="I13" s="120" t="s">
        <v>65</v>
      </c>
      <c r="J13" s="121">
        <v>10000</v>
      </c>
    </row>
    <row r="14" spans="2:10" x14ac:dyDescent="0.2">
      <c r="B14" s="117">
        <v>41883</v>
      </c>
      <c r="C14" s="118" t="s">
        <v>63</v>
      </c>
      <c r="D14" s="118" t="s">
        <v>64</v>
      </c>
      <c r="E14" s="119">
        <v>41883</v>
      </c>
      <c r="F14" s="131">
        <v>41883</v>
      </c>
      <c r="G14" s="131">
        <f t="shared" si="2"/>
        <v>41912</v>
      </c>
      <c r="H14" s="120" t="s">
        <v>65</v>
      </c>
      <c r="I14" s="120" t="s">
        <v>65</v>
      </c>
      <c r="J14" s="121">
        <v>10000</v>
      </c>
    </row>
    <row r="15" spans="2:10" x14ac:dyDescent="0.2">
      <c r="B15" s="117">
        <v>41913</v>
      </c>
      <c r="C15" s="118" t="s">
        <v>63</v>
      </c>
      <c r="D15" s="118" t="s">
        <v>64</v>
      </c>
      <c r="E15" s="119">
        <v>41913</v>
      </c>
      <c r="F15" s="131">
        <v>41913</v>
      </c>
      <c r="G15" s="131">
        <f t="shared" si="2"/>
        <v>41943</v>
      </c>
      <c r="H15" s="120" t="s">
        <v>65</v>
      </c>
      <c r="I15" s="120" t="s">
        <v>65</v>
      </c>
      <c r="J15" s="121">
        <v>10000</v>
      </c>
    </row>
    <row r="16" spans="2:10" x14ac:dyDescent="0.2">
      <c r="B16" s="117">
        <v>41944</v>
      </c>
      <c r="C16" s="118" t="s">
        <v>63</v>
      </c>
      <c r="D16" s="118" t="s">
        <v>64</v>
      </c>
      <c r="E16" s="119">
        <v>41944</v>
      </c>
      <c r="F16" s="131">
        <v>41944</v>
      </c>
      <c r="G16" s="131">
        <f t="shared" si="2"/>
        <v>41973</v>
      </c>
      <c r="H16" s="120" t="s">
        <v>65</v>
      </c>
      <c r="I16" s="120" t="s">
        <v>65</v>
      </c>
      <c r="J16" s="121">
        <v>10000</v>
      </c>
    </row>
    <row r="17" spans="2:10" x14ac:dyDescent="0.2">
      <c r="B17" s="117">
        <v>41974</v>
      </c>
      <c r="C17" s="118" t="s">
        <v>63</v>
      </c>
      <c r="D17" s="118" t="s">
        <v>64</v>
      </c>
      <c r="E17" s="119">
        <v>41974</v>
      </c>
      <c r="F17" s="131">
        <v>41974</v>
      </c>
      <c r="G17" s="131">
        <f t="shared" si="2"/>
        <v>42004</v>
      </c>
      <c r="H17" s="120" t="s">
        <v>65</v>
      </c>
      <c r="I17" s="120" t="s">
        <v>65</v>
      </c>
      <c r="J17" s="121">
        <v>10000</v>
      </c>
    </row>
    <row r="18" spans="2:10" x14ac:dyDescent="0.2">
      <c r="B18" s="117">
        <v>42005</v>
      </c>
      <c r="C18" s="118" t="s">
        <v>63</v>
      </c>
      <c r="D18" s="118" t="s">
        <v>64</v>
      </c>
      <c r="E18" s="119">
        <v>42005</v>
      </c>
      <c r="F18" s="131">
        <v>42005</v>
      </c>
      <c r="G18" s="131">
        <f t="shared" si="2"/>
        <v>42035</v>
      </c>
      <c r="H18" s="120" t="s">
        <v>65</v>
      </c>
      <c r="I18" s="120" t="s">
        <v>65</v>
      </c>
      <c r="J18" s="121">
        <v>10000</v>
      </c>
    </row>
    <row r="19" spans="2:10" x14ac:dyDescent="0.2">
      <c r="B19" s="117">
        <v>42036</v>
      </c>
      <c r="C19" s="118" t="s">
        <v>63</v>
      </c>
      <c r="D19" s="118" t="s">
        <v>64</v>
      </c>
      <c r="E19" s="119">
        <v>42036</v>
      </c>
      <c r="F19" s="131">
        <v>42036</v>
      </c>
      <c r="G19" s="131">
        <f t="shared" si="2"/>
        <v>42063</v>
      </c>
      <c r="H19" s="120" t="s">
        <v>65</v>
      </c>
      <c r="I19" s="120" t="s">
        <v>65</v>
      </c>
      <c r="J19" s="121">
        <v>10000</v>
      </c>
    </row>
    <row r="20" spans="2:10" x14ac:dyDescent="0.2">
      <c r="B20" s="117">
        <v>42064</v>
      </c>
      <c r="C20" s="118" t="s">
        <v>63</v>
      </c>
      <c r="D20" s="118" t="s">
        <v>64</v>
      </c>
      <c r="E20" s="119">
        <v>42064</v>
      </c>
      <c r="F20" s="131">
        <v>42064</v>
      </c>
      <c r="G20" s="131">
        <f t="shared" si="2"/>
        <v>42094</v>
      </c>
      <c r="H20" s="120" t="s">
        <v>65</v>
      </c>
      <c r="I20" s="120" t="s">
        <v>65</v>
      </c>
      <c r="J20" s="121">
        <v>10000</v>
      </c>
    </row>
    <row r="21" spans="2:10" x14ac:dyDescent="0.2">
      <c r="B21" s="117">
        <v>42095</v>
      </c>
      <c r="C21" s="118" t="s">
        <v>63</v>
      </c>
      <c r="D21" s="118" t="s">
        <v>64</v>
      </c>
      <c r="E21" s="119">
        <v>42095</v>
      </c>
      <c r="F21" s="131">
        <v>42095</v>
      </c>
      <c r="G21" s="131">
        <f t="shared" si="2"/>
        <v>42124</v>
      </c>
      <c r="H21" s="120" t="s">
        <v>65</v>
      </c>
      <c r="I21" s="120" t="s">
        <v>65</v>
      </c>
      <c r="J21" s="121">
        <v>10000</v>
      </c>
    </row>
    <row r="22" spans="2:10" x14ac:dyDescent="0.2">
      <c r="B22" s="117">
        <v>42125</v>
      </c>
      <c r="C22" s="118" t="s">
        <v>63</v>
      </c>
      <c r="D22" s="118" t="s">
        <v>64</v>
      </c>
      <c r="E22" s="119">
        <v>42125</v>
      </c>
      <c r="F22" s="131">
        <v>42125</v>
      </c>
      <c r="G22" s="131">
        <f t="shared" si="2"/>
        <v>42155</v>
      </c>
      <c r="H22" s="120" t="s">
        <v>65</v>
      </c>
      <c r="I22" s="120" t="s">
        <v>65</v>
      </c>
      <c r="J22" s="121">
        <v>10000</v>
      </c>
    </row>
    <row r="23" spans="2:10" x14ac:dyDescent="0.2">
      <c r="B23" s="117">
        <v>42156</v>
      </c>
      <c r="C23" s="118" t="s">
        <v>63</v>
      </c>
      <c r="D23" s="118" t="s">
        <v>64</v>
      </c>
      <c r="E23" s="119">
        <v>42156</v>
      </c>
      <c r="F23" s="131">
        <v>42156</v>
      </c>
      <c r="G23" s="131">
        <f t="shared" si="2"/>
        <v>42185</v>
      </c>
      <c r="H23" s="120" t="s">
        <v>65</v>
      </c>
      <c r="I23" s="120" t="s">
        <v>65</v>
      </c>
      <c r="J23" s="121">
        <v>10000</v>
      </c>
    </row>
    <row r="24" spans="2:10" x14ac:dyDescent="0.2">
      <c r="B24" s="117">
        <v>42186</v>
      </c>
      <c r="C24" s="118" t="s">
        <v>63</v>
      </c>
      <c r="D24" s="118" t="s">
        <v>64</v>
      </c>
      <c r="E24" s="119">
        <v>42186</v>
      </c>
      <c r="F24" s="131">
        <v>42186</v>
      </c>
      <c r="G24" s="131">
        <f t="shared" si="2"/>
        <v>42216</v>
      </c>
      <c r="H24" s="120" t="s">
        <v>65</v>
      </c>
      <c r="I24" s="120" t="s">
        <v>65</v>
      </c>
      <c r="J24" s="121">
        <v>10000</v>
      </c>
    </row>
    <row r="25" spans="2:10" x14ac:dyDescent="0.2">
      <c r="B25" s="117">
        <v>42217</v>
      </c>
      <c r="C25" s="118" t="s">
        <v>63</v>
      </c>
      <c r="D25" s="118" t="s">
        <v>64</v>
      </c>
      <c r="E25" s="119">
        <v>42217</v>
      </c>
      <c r="F25" s="131">
        <v>42217</v>
      </c>
      <c r="G25" s="131">
        <f t="shared" si="2"/>
        <v>42247</v>
      </c>
      <c r="H25" s="120" t="s">
        <v>65</v>
      </c>
      <c r="I25" s="120" t="s">
        <v>65</v>
      </c>
      <c r="J25" s="121">
        <v>10000</v>
      </c>
    </row>
    <row r="26" spans="2:10" x14ac:dyDescent="0.2">
      <c r="B26" s="117">
        <v>42248</v>
      </c>
      <c r="C26" s="118" t="s">
        <v>63</v>
      </c>
      <c r="D26" s="118" t="s">
        <v>64</v>
      </c>
      <c r="E26" s="119">
        <v>42248</v>
      </c>
      <c r="F26" s="131">
        <v>42248</v>
      </c>
      <c r="G26" s="131">
        <f t="shared" si="2"/>
        <v>42277</v>
      </c>
      <c r="H26" s="120" t="s">
        <v>65</v>
      </c>
      <c r="I26" s="120" t="s">
        <v>65</v>
      </c>
      <c r="J26" s="121">
        <v>10000</v>
      </c>
    </row>
    <row r="27" spans="2:10" x14ac:dyDescent="0.2">
      <c r="B27" s="117">
        <v>42278</v>
      </c>
      <c r="C27" s="118" t="s">
        <v>63</v>
      </c>
      <c r="D27" s="118" t="s">
        <v>64</v>
      </c>
      <c r="E27" s="119">
        <v>42278</v>
      </c>
      <c r="F27" s="131">
        <v>42278</v>
      </c>
      <c r="G27" s="131">
        <f t="shared" si="2"/>
        <v>42308</v>
      </c>
      <c r="H27" s="120" t="s">
        <v>65</v>
      </c>
      <c r="I27" s="120" t="s">
        <v>65</v>
      </c>
      <c r="J27" s="121">
        <v>10000</v>
      </c>
    </row>
    <row r="28" spans="2:10" x14ac:dyDescent="0.2">
      <c r="B28" s="117">
        <v>42309</v>
      </c>
      <c r="C28" s="118" t="s">
        <v>63</v>
      </c>
      <c r="D28" s="118" t="s">
        <v>64</v>
      </c>
      <c r="E28" s="119">
        <v>42309</v>
      </c>
      <c r="F28" s="131">
        <v>42309</v>
      </c>
      <c r="G28" s="131">
        <f t="shared" si="2"/>
        <v>42338</v>
      </c>
      <c r="H28" s="120" t="s">
        <v>65</v>
      </c>
      <c r="I28" s="120" t="s">
        <v>65</v>
      </c>
      <c r="J28" s="121">
        <v>10000</v>
      </c>
    </row>
    <row r="29" spans="2:10" x14ac:dyDescent="0.2">
      <c r="B29" s="117">
        <v>42339</v>
      </c>
      <c r="C29" s="118" t="s">
        <v>63</v>
      </c>
      <c r="D29" s="118" t="s">
        <v>64</v>
      </c>
      <c r="E29" s="119">
        <v>42339</v>
      </c>
      <c r="F29" s="131">
        <v>42339</v>
      </c>
      <c r="G29" s="131">
        <f t="shared" si="2"/>
        <v>42369</v>
      </c>
      <c r="H29" s="120" t="s">
        <v>65</v>
      </c>
      <c r="I29" s="120" t="s">
        <v>65</v>
      </c>
      <c r="J29" s="121">
        <v>10000</v>
      </c>
    </row>
    <row r="30" spans="2:10" x14ac:dyDescent="0.2">
      <c r="B30" s="133">
        <v>42370</v>
      </c>
      <c r="C30" s="134" t="s">
        <v>63</v>
      </c>
      <c r="D30" s="134" t="s">
        <v>64</v>
      </c>
      <c r="E30" s="135">
        <v>42370</v>
      </c>
      <c r="F30" s="145">
        <v>42370</v>
      </c>
      <c r="G30" s="145">
        <f t="shared" si="2"/>
        <v>42400</v>
      </c>
      <c r="H30" s="136" t="s">
        <v>65</v>
      </c>
      <c r="I30" s="136" t="s">
        <v>65</v>
      </c>
      <c r="J30" s="137">
        <v>10000</v>
      </c>
    </row>
    <row r="31" spans="2:10" x14ac:dyDescent="0.2">
      <c r="B31" s="138">
        <v>42401</v>
      </c>
      <c r="C31" s="118" t="s">
        <v>63</v>
      </c>
      <c r="D31" s="118" t="s">
        <v>64</v>
      </c>
      <c r="E31" s="119">
        <v>42401</v>
      </c>
      <c r="F31" s="146">
        <v>42401</v>
      </c>
      <c r="G31" s="146">
        <f t="shared" si="2"/>
        <v>42429</v>
      </c>
      <c r="H31" s="120" t="s">
        <v>65</v>
      </c>
      <c r="I31" s="120" t="s">
        <v>65</v>
      </c>
      <c r="J31" s="139">
        <v>10000</v>
      </c>
    </row>
    <row r="32" spans="2:10" x14ac:dyDescent="0.2">
      <c r="B32" s="138">
        <v>42430</v>
      </c>
      <c r="C32" s="118" t="s">
        <v>63</v>
      </c>
      <c r="D32" s="118" t="s">
        <v>64</v>
      </c>
      <c r="E32" s="119">
        <v>42430</v>
      </c>
      <c r="F32" s="146">
        <v>42430</v>
      </c>
      <c r="G32" s="146">
        <f t="shared" si="2"/>
        <v>42460</v>
      </c>
      <c r="H32" s="120" t="s">
        <v>65</v>
      </c>
      <c r="I32" s="120" t="s">
        <v>65</v>
      </c>
      <c r="J32" s="139">
        <v>10000</v>
      </c>
    </row>
    <row r="33" spans="2:10" x14ac:dyDescent="0.2">
      <c r="B33" s="138">
        <v>42461</v>
      </c>
      <c r="C33" s="118" t="s">
        <v>63</v>
      </c>
      <c r="D33" s="118" t="s">
        <v>64</v>
      </c>
      <c r="E33" s="119">
        <v>42461</v>
      </c>
      <c r="F33" s="146">
        <v>42461</v>
      </c>
      <c r="G33" s="146">
        <f t="shared" si="2"/>
        <v>42490</v>
      </c>
      <c r="H33" s="120" t="s">
        <v>65</v>
      </c>
      <c r="I33" s="120" t="s">
        <v>65</v>
      </c>
      <c r="J33" s="139">
        <v>10000</v>
      </c>
    </row>
    <row r="34" spans="2:10" x14ac:dyDescent="0.2">
      <c r="B34" s="138">
        <v>42491</v>
      </c>
      <c r="C34" s="118" t="s">
        <v>63</v>
      </c>
      <c r="D34" s="118" t="s">
        <v>64</v>
      </c>
      <c r="E34" s="119">
        <v>42491</v>
      </c>
      <c r="F34" s="146">
        <v>42491</v>
      </c>
      <c r="G34" s="146">
        <f t="shared" si="2"/>
        <v>42521</v>
      </c>
      <c r="H34" s="120" t="s">
        <v>65</v>
      </c>
      <c r="I34" s="120" t="s">
        <v>65</v>
      </c>
      <c r="J34" s="139">
        <v>10000</v>
      </c>
    </row>
    <row r="35" spans="2:10" x14ac:dyDescent="0.2">
      <c r="B35" s="140">
        <v>42522</v>
      </c>
      <c r="C35" s="141" t="s">
        <v>63</v>
      </c>
      <c r="D35" s="141" t="s">
        <v>64</v>
      </c>
      <c r="E35" s="142">
        <v>42522</v>
      </c>
      <c r="F35" s="147">
        <v>42522</v>
      </c>
      <c r="G35" s="147">
        <f t="shared" si="2"/>
        <v>42551</v>
      </c>
      <c r="H35" s="143" t="s">
        <v>65</v>
      </c>
      <c r="I35" s="143" t="s">
        <v>65</v>
      </c>
      <c r="J35" s="144">
        <v>10000</v>
      </c>
    </row>
    <row r="36" spans="2:10" ht="14.3" thickBot="1" x14ac:dyDescent="0.3">
      <c r="B36" s="93">
        <v>42522</v>
      </c>
      <c r="C36" t="s">
        <v>63</v>
      </c>
      <c r="D36" t="s">
        <v>66</v>
      </c>
      <c r="E36" s="94">
        <v>42522</v>
      </c>
      <c r="F36" s="95">
        <v>42541</v>
      </c>
      <c r="G36" s="95">
        <f t="shared" si="2"/>
        <v>42551</v>
      </c>
      <c r="H36" s="127">
        <v>41640</v>
      </c>
      <c r="I36" s="128">
        <v>42369</v>
      </c>
      <c r="J36">
        <f>SUM(J4,J6:J10,J12:J29)/730*10</f>
        <v>3232.8767123287671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C28" sqref="C28"/>
    </sheetView>
  </sheetViews>
  <sheetFormatPr defaultRowHeight="12.9" x14ac:dyDescent="0.2"/>
  <cols>
    <col min="3" max="3" width="11.75" customWidth="1"/>
    <col min="4" max="4" width="13.375" customWidth="1"/>
    <col min="5" max="5" width="12.75" customWidth="1"/>
    <col min="6" max="7" width="7.125" customWidth="1"/>
    <col min="8" max="8" width="8.625" customWidth="1"/>
    <col min="9" max="9" width="14.625" customWidth="1"/>
    <col min="10" max="10" width="13.75" customWidth="1"/>
    <col min="12" max="12" width="9.125" style="48"/>
  </cols>
  <sheetData>
    <row r="1" spans="1:12" ht="13.6" thickBot="1" x14ac:dyDescent="0.25"/>
    <row r="2" spans="1:12" x14ac:dyDescent="0.2">
      <c r="D2" s="157" t="s">
        <v>0</v>
      </c>
      <c r="E2" s="158"/>
      <c r="F2" s="158"/>
      <c r="G2" s="158"/>
      <c r="H2" s="158"/>
      <c r="I2" s="158"/>
      <c r="J2" s="159"/>
    </row>
    <row r="3" spans="1:12" ht="13.6" thickBot="1" x14ac:dyDescent="0.25">
      <c r="D3" s="160"/>
      <c r="E3" s="161"/>
      <c r="F3" s="161"/>
      <c r="G3" s="161"/>
      <c r="H3" s="161"/>
      <c r="I3" s="161"/>
      <c r="J3" s="162"/>
    </row>
    <row r="4" spans="1:12" ht="25.5" customHeight="1" x14ac:dyDescent="0.25">
      <c r="D4" s="32" t="s">
        <v>1</v>
      </c>
      <c r="E4" s="80" t="s">
        <v>2</v>
      </c>
      <c r="F4" s="154" t="s">
        <v>3</v>
      </c>
      <c r="G4" s="154"/>
      <c r="H4" s="80" t="s">
        <v>4</v>
      </c>
      <c r="I4" s="80" t="s">
        <v>5</v>
      </c>
      <c r="J4" s="34" t="s">
        <v>6</v>
      </c>
    </row>
    <row r="5" spans="1:12" x14ac:dyDescent="0.2">
      <c r="D5" s="5" t="s">
        <v>7</v>
      </c>
      <c r="E5" s="1" t="s">
        <v>8</v>
      </c>
      <c r="F5" s="2"/>
      <c r="G5" s="2"/>
      <c r="H5" s="1">
        <v>10000</v>
      </c>
      <c r="I5" s="1">
        <v>10000</v>
      </c>
      <c r="J5" s="6"/>
      <c r="L5" s="3" t="s">
        <v>9</v>
      </c>
    </row>
    <row r="6" spans="1:12" ht="13.6" x14ac:dyDescent="0.25">
      <c r="D6" s="7" t="s">
        <v>7</v>
      </c>
      <c r="E6" s="4" t="s">
        <v>10</v>
      </c>
      <c r="F6" s="3" t="s">
        <v>11</v>
      </c>
      <c r="G6" s="3" t="s">
        <v>12</v>
      </c>
      <c r="H6" s="1">
        <v>20</v>
      </c>
      <c r="I6" s="1"/>
      <c r="J6" s="77">
        <v>10000</v>
      </c>
    </row>
    <row r="7" spans="1:12" x14ac:dyDescent="0.2">
      <c r="D7" s="5" t="s">
        <v>7</v>
      </c>
      <c r="E7" s="1" t="s">
        <v>13</v>
      </c>
      <c r="F7" s="2" t="s">
        <v>11</v>
      </c>
      <c r="G7" s="2" t="s">
        <v>12</v>
      </c>
      <c r="H7" s="1">
        <v>15</v>
      </c>
      <c r="I7" s="1"/>
      <c r="J7" s="6"/>
      <c r="L7" s="49">
        <v>2</v>
      </c>
    </row>
    <row r="8" spans="1:12" x14ac:dyDescent="0.2">
      <c r="D8" s="5" t="s">
        <v>14</v>
      </c>
      <c r="E8" s="1" t="s">
        <v>13</v>
      </c>
      <c r="F8" s="2" t="s">
        <v>15</v>
      </c>
      <c r="G8" s="2" t="s">
        <v>12</v>
      </c>
      <c r="H8" s="1">
        <v>10</v>
      </c>
      <c r="I8" s="1"/>
      <c r="J8" s="6"/>
    </row>
    <row r="9" spans="1:12" ht="13.6" x14ac:dyDescent="0.25">
      <c r="D9" s="9" t="s">
        <v>14</v>
      </c>
      <c r="E9" s="4" t="s">
        <v>10</v>
      </c>
      <c r="F9" s="3" t="s">
        <v>15</v>
      </c>
      <c r="G9" s="3" t="s">
        <v>12</v>
      </c>
      <c r="H9" s="1">
        <v>15</v>
      </c>
      <c r="I9" s="1"/>
      <c r="J9" s="77">
        <v>8000</v>
      </c>
      <c r="L9" s="50">
        <v>3</v>
      </c>
    </row>
    <row r="10" spans="1:12" ht="13.6" thickBot="1" x14ac:dyDescent="0.25">
      <c r="D10" s="10" t="s">
        <v>14</v>
      </c>
      <c r="E10" s="11" t="s">
        <v>8</v>
      </c>
      <c r="F10" s="12"/>
      <c r="G10" s="12"/>
      <c r="H10" s="11">
        <v>8000</v>
      </c>
      <c r="I10" s="11">
        <v>8000</v>
      </c>
      <c r="J10" s="13"/>
    </row>
    <row r="11" spans="1:12" ht="13.6" x14ac:dyDescent="0.25">
      <c r="A11" s="152" t="s">
        <v>16</v>
      </c>
      <c r="B11" s="78"/>
      <c r="C11" s="78"/>
    </row>
    <row r="12" spans="1:12" ht="13.6" x14ac:dyDescent="0.25">
      <c r="A12" s="152"/>
      <c r="B12" s="78"/>
      <c r="C12" s="78"/>
    </row>
    <row r="13" spans="1:12" ht="14.3" thickBot="1" x14ac:dyDescent="0.3">
      <c r="A13" s="153" t="s">
        <v>17</v>
      </c>
      <c r="B13" s="79"/>
      <c r="C13" s="79"/>
    </row>
    <row r="14" spans="1:12" ht="13.6" x14ac:dyDescent="0.25">
      <c r="A14" s="153"/>
      <c r="B14" s="79"/>
      <c r="C14" s="79"/>
      <c r="D14" s="163" t="s">
        <v>18</v>
      </c>
      <c r="E14" s="164"/>
      <c r="F14" s="164"/>
      <c r="G14" s="164"/>
      <c r="H14" s="164"/>
      <c r="I14" s="165"/>
    </row>
    <row r="15" spans="1:12" ht="13.6" thickBot="1" x14ac:dyDescent="0.25">
      <c r="D15" s="166"/>
      <c r="E15" s="167"/>
      <c r="F15" s="167"/>
      <c r="G15" s="167"/>
      <c r="H15" s="167"/>
      <c r="I15" s="168"/>
    </row>
    <row r="16" spans="1:12" ht="27.2" x14ac:dyDescent="0.25">
      <c r="A16" t="s">
        <v>19</v>
      </c>
      <c r="C16" s="76" t="s">
        <v>20</v>
      </c>
      <c r="D16" s="72" t="s">
        <v>1</v>
      </c>
      <c r="E16" s="80" t="s">
        <v>2</v>
      </c>
      <c r="F16" s="154" t="s">
        <v>21</v>
      </c>
      <c r="G16" s="154"/>
      <c r="H16" s="80" t="s">
        <v>4</v>
      </c>
      <c r="I16" s="67" t="s">
        <v>5</v>
      </c>
      <c r="J16" s="71" t="s">
        <v>22</v>
      </c>
    </row>
    <row r="17" spans="3:12" x14ac:dyDescent="0.2">
      <c r="C17" s="1"/>
      <c r="D17" s="73" t="s">
        <v>7</v>
      </c>
      <c r="E17" s="1" t="s">
        <v>8</v>
      </c>
      <c r="F17" s="155" t="s">
        <v>23</v>
      </c>
      <c r="G17" s="156"/>
      <c r="H17" s="1">
        <v>10000</v>
      </c>
      <c r="I17" s="68">
        <v>10000</v>
      </c>
      <c r="J17" s="1">
        <v>20</v>
      </c>
      <c r="L17" s="48" t="s">
        <v>24</v>
      </c>
    </row>
    <row r="18" spans="3:12" x14ac:dyDescent="0.2">
      <c r="C18" s="1"/>
      <c r="D18" s="73" t="s">
        <v>7</v>
      </c>
      <c r="E18" s="1" t="s">
        <v>10</v>
      </c>
      <c r="F18" s="155" t="s">
        <v>23</v>
      </c>
      <c r="G18" s="156"/>
      <c r="H18" s="1">
        <v>20</v>
      </c>
      <c r="I18" s="68">
        <v>2000</v>
      </c>
      <c r="J18" s="1"/>
    </row>
    <row r="19" spans="3:12" x14ac:dyDescent="0.2">
      <c r="C19" s="1"/>
      <c r="D19" s="73" t="s">
        <v>7</v>
      </c>
      <c r="E19" s="1" t="s">
        <v>13</v>
      </c>
      <c r="F19" s="155" t="s">
        <v>23</v>
      </c>
      <c r="G19" s="156"/>
      <c r="H19" s="1">
        <v>15</v>
      </c>
      <c r="I19" s="68">
        <v>1800</v>
      </c>
      <c r="J19" s="1"/>
      <c r="L19" s="48" t="s">
        <v>25</v>
      </c>
    </row>
    <row r="20" spans="3:12" x14ac:dyDescent="0.2">
      <c r="C20" s="1"/>
      <c r="D20" s="73" t="s">
        <v>7</v>
      </c>
      <c r="E20" s="1" t="s">
        <v>8</v>
      </c>
      <c r="F20" s="155" t="s">
        <v>26</v>
      </c>
      <c r="G20" s="156"/>
      <c r="H20" s="1">
        <v>10000</v>
      </c>
      <c r="I20" s="68">
        <v>10000</v>
      </c>
      <c r="J20" s="1">
        <v>24</v>
      </c>
    </row>
    <row r="21" spans="3:12" x14ac:dyDescent="0.2">
      <c r="C21" s="1"/>
      <c r="D21" s="73" t="s">
        <v>7</v>
      </c>
      <c r="E21" s="1" t="s">
        <v>10</v>
      </c>
      <c r="F21" s="155" t="s">
        <v>26</v>
      </c>
      <c r="G21" s="156"/>
      <c r="H21" s="1">
        <v>20</v>
      </c>
      <c r="I21" s="68">
        <v>2000</v>
      </c>
      <c r="J21" s="1"/>
    </row>
    <row r="22" spans="3:12" x14ac:dyDescent="0.2">
      <c r="C22" s="1"/>
      <c r="D22" s="73" t="s">
        <v>7</v>
      </c>
      <c r="E22" s="1" t="s">
        <v>13</v>
      </c>
      <c r="F22" s="155" t="s">
        <v>26</v>
      </c>
      <c r="G22" s="156"/>
      <c r="H22" s="1">
        <v>15</v>
      </c>
      <c r="I22" s="68">
        <v>1800</v>
      </c>
      <c r="J22" s="1"/>
    </row>
    <row r="23" spans="3:12" ht="13.6" x14ac:dyDescent="0.25">
      <c r="C23" s="22"/>
      <c r="D23" s="74" t="s">
        <v>7</v>
      </c>
      <c r="E23" s="4" t="s">
        <v>8</v>
      </c>
      <c r="F23" s="148" t="s">
        <v>27</v>
      </c>
      <c r="G23" s="149"/>
      <c r="H23" s="1">
        <v>10000</v>
      </c>
      <c r="I23" s="69">
        <v>10000</v>
      </c>
      <c r="J23" s="1">
        <v>20</v>
      </c>
    </row>
    <row r="24" spans="3:12" x14ac:dyDescent="0.2">
      <c r="C24" s="1"/>
      <c r="D24" s="73" t="s">
        <v>7</v>
      </c>
      <c r="E24" s="1" t="s">
        <v>10</v>
      </c>
      <c r="F24" s="148" t="s">
        <v>27</v>
      </c>
      <c r="G24" s="149"/>
      <c r="H24" s="1">
        <v>20</v>
      </c>
      <c r="I24" s="68"/>
      <c r="J24" s="1"/>
    </row>
    <row r="25" spans="3:12" x14ac:dyDescent="0.2">
      <c r="C25" s="1"/>
      <c r="D25" s="73" t="s">
        <v>7</v>
      </c>
      <c r="E25" s="1" t="s">
        <v>13</v>
      </c>
      <c r="F25" s="148" t="s">
        <v>27</v>
      </c>
      <c r="G25" s="149"/>
      <c r="H25" s="1">
        <v>15</v>
      </c>
      <c r="I25" s="68"/>
      <c r="J25" s="1"/>
    </row>
    <row r="26" spans="3:12" x14ac:dyDescent="0.2">
      <c r="C26" s="1" t="s">
        <v>7</v>
      </c>
      <c r="D26" s="73" t="s">
        <v>14</v>
      </c>
      <c r="E26" s="1" t="s">
        <v>13</v>
      </c>
      <c r="F26" s="148" t="s">
        <v>27</v>
      </c>
      <c r="G26" s="149"/>
      <c r="H26" s="1">
        <v>10</v>
      </c>
      <c r="I26" s="68"/>
      <c r="J26" s="1"/>
    </row>
    <row r="27" spans="3:12" x14ac:dyDescent="0.2">
      <c r="C27" s="1" t="s">
        <v>7</v>
      </c>
      <c r="D27" s="73" t="s">
        <v>14</v>
      </c>
      <c r="E27" s="1" t="s">
        <v>10</v>
      </c>
      <c r="F27" s="148" t="s">
        <v>27</v>
      </c>
      <c r="G27" s="149"/>
      <c r="H27" s="1">
        <v>15</v>
      </c>
      <c r="I27" s="68"/>
      <c r="J27" s="1"/>
    </row>
    <row r="28" spans="3:12" ht="14.3" thickBot="1" x14ac:dyDescent="0.3">
      <c r="C28" s="74" t="s">
        <v>7</v>
      </c>
      <c r="D28" s="75" t="s">
        <v>14</v>
      </c>
      <c r="E28" s="15" t="s">
        <v>8</v>
      </c>
      <c r="F28" s="150" t="s">
        <v>27</v>
      </c>
      <c r="G28" s="151"/>
      <c r="H28" s="11">
        <v>8000</v>
      </c>
      <c r="I28" s="70">
        <v>8000</v>
      </c>
      <c r="J28" s="1">
        <v>25</v>
      </c>
    </row>
    <row r="30" spans="3:12" ht="13.6" thickBot="1" x14ac:dyDescent="0.25"/>
    <row r="31" spans="3:12" x14ac:dyDescent="0.2">
      <c r="D31" s="175" t="s">
        <v>28</v>
      </c>
      <c r="E31" s="176"/>
      <c r="F31" s="176"/>
      <c r="G31" s="176"/>
      <c r="H31" s="177"/>
    </row>
    <row r="32" spans="3:12" ht="13.6" thickBot="1" x14ac:dyDescent="0.25">
      <c r="D32" s="178"/>
      <c r="E32" s="179"/>
      <c r="F32" s="179"/>
      <c r="G32" s="179"/>
      <c r="H32" s="180"/>
    </row>
    <row r="33" spans="4:9" ht="13.6" x14ac:dyDescent="0.2">
      <c r="D33" s="181" t="s">
        <v>29</v>
      </c>
      <c r="E33" s="183" t="s">
        <v>30</v>
      </c>
      <c r="F33" s="183"/>
      <c r="G33" s="183"/>
      <c r="H33" s="184"/>
    </row>
    <row r="34" spans="4:9" ht="13.6" x14ac:dyDescent="0.25">
      <c r="D34" s="182"/>
      <c r="E34" s="82" t="s">
        <v>29</v>
      </c>
      <c r="F34" s="185" t="s">
        <v>31</v>
      </c>
      <c r="G34" s="185"/>
      <c r="H34" s="186"/>
    </row>
    <row r="35" spans="4:9" x14ac:dyDescent="0.2">
      <c r="D35" s="30" t="s">
        <v>8</v>
      </c>
      <c r="E35" s="1"/>
      <c r="F35" s="171"/>
      <c r="G35" s="171"/>
      <c r="H35" s="172"/>
    </row>
    <row r="36" spans="4:9" x14ac:dyDescent="0.2">
      <c r="D36" s="83" t="s">
        <v>10</v>
      </c>
      <c r="E36" s="4" t="s">
        <v>8</v>
      </c>
      <c r="F36" s="171" t="s">
        <v>32</v>
      </c>
      <c r="G36" s="171"/>
      <c r="H36" s="172"/>
    </row>
    <row r="37" spans="4:9" x14ac:dyDescent="0.2">
      <c r="D37" s="169" t="s">
        <v>13</v>
      </c>
      <c r="E37" s="1" t="s">
        <v>8</v>
      </c>
      <c r="F37" s="171" t="s">
        <v>32</v>
      </c>
      <c r="G37" s="171"/>
      <c r="H37" s="172"/>
    </row>
    <row r="38" spans="4:9" ht="13.6" thickBot="1" x14ac:dyDescent="0.25">
      <c r="D38" s="170"/>
      <c r="E38" s="31" t="s">
        <v>10</v>
      </c>
      <c r="F38" s="173" t="s">
        <v>32</v>
      </c>
      <c r="G38" s="173"/>
      <c r="H38" s="174"/>
    </row>
    <row r="40" spans="4:9" ht="13.6" thickBot="1" x14ac:dyDescent="0.25"/>
    <row r="41" spans="4:9" x14ac:dyDescent="0.2">
      <c r="D41" s="163" t="s">
        <v>33</v>
      </c>
      <c r="E41" s="164"/>
      <c r="F41" s="164"/>
      <c r="G41" s="164"/>
      <c r="H41" s="164"/>
      <c r="I41" s="165"/>
    </row>
    <row r="42" spans="4:9" ht="13.6" thickBot="1" x14ac:dyDescent="0.25">
      <c r="D42" s="166"/>
      <c r="E42" s="167"/>
      <c r="F42" s="167"/>
      <c r="G42" s="167"/>
      <c r="H42" s="167"/>
      <c r="I42" s="168"/>
    </row>
    <row r="43" spans="4:9" ht="27.2" x14ac:dyDescent="0.25">
      <c r="D43" s="32" t="s">
        <v>1</v>
      </c>
      <c r="E43" s="80" t="s">
        <v>2</v>
      </c>
      <c r="F43" s="154" t="s">
        <v>21</v>
      </c>
      <c r="G43" s="154"/>
      <c r="H43" s="80" t="s">
        <v>4</v>
      </c>
      <c r="I43" s="33" t="s">
        <v>5</v>
      </c>
    </row>
    <row r="44" spans="4:9" x14ac:dyDescent="0.2">
      <c r="D44" s="5" t="s">
        <v>7</v>
      </c>
      <c r="E44" s="1" t="s">
        <v>8</v>
      </c>
      <c r="F44" s="155" t="s">
        <v>23</v>
      </c>
      <c r="G44" s="156"/>
      <c r="H44" s="1">
        <f>I44</f>
        <v>1000</v>
      </c>
      <c r="I44" s="61">
        <v>1000</v>
      </c>
    </row>
    <row r="45" spans="4:9" x14ac:dyDescent="0.2">
      <c r="D45" s="5" t="s">
        <v>7</v>
      </c>
      <c r="E45" s="1" t="s">
        <v>10</v>
      </c>
      <c r="F45" s="155" t="s">
        <v>23</v>
      </c>
      <c r="G45" s="156"/>
      <c r="H45" s="1">
        <v>20</v>
      </c>
      <c r="I45" s="61">
        <v>200</v>
      </c>
    </row>
    <row r="46" spans="4:9" x14ac:dyDescent="0.2">
      <c r="D46" s="5" t="s">
        <v>7</v>
      </c>
      <c r="E46" s="1" t="s">
        <v>13</v>
      </c>
      <c r="F46" s="155" t="s">
        <v>23</v>
      </c>
      <c r="G46" s="156"/>
      <c r="H46" s="1">
        <v>15</v>
      </c>
      <c r="I46" s="61">
        <v>180</v>
      </c>
    </row>
    <row r="47" spans="4:9" x14ac:dyDescent="0.2">
      <c r="D47" s="5" t="s">
        <v>7</v>
      </c>
      <c r="E47" s="1" t="s">
        <v>8</v>
      </c>
      <c r="F47" s="155" t="s">
        <v>26</v>
      </c>
      <c r="G47" s="156"/>
      <c r="H47" s="1">
        <f>I47</f>
        <v>1000</v>
      </c>
      <c r="I47" s="61">
        <v>1000</v>
      </c>
    </row>
    <row r="48" spans="4:9" x14ac:dyDescent="0.2">
      <c r="D48" s="5" t="s">
        <v>7</v>
      </c>
      <c r="E48" s="1" t="s">
        <v>10</v>
      </c>
      <c r="F48" s="155" t="s">
        <v>26</v>
      </c>
      <c r="G48" s="156"/>
      <c r="H48" s="1">
        <v>20</v>
      </c>
      <c r="I48" s="61">
        <v>200</v>
      </c>
    </row>
    <row r="49" spans="4:9" x14ac:dyDescent="0.2">
      <c r="D49" s="5" t="s">
        <v>7</v>
      </c>
      <c r="E49" s="1" t="s">
        <v>13</v>
      </c>
      <c r="F49" s="155" t="s">
        <v>26</v>
      </c>
      <c r="G49" s="156"/>
      <c r="H49" s="1">
        <v>15</v>
      </c>
      <c r="I49" s="61">
        <v>180</v>
      </c>
    </row>
    <row r="50" spans="4:9" ht="13.6" x14ac:dyDescent="0.25">
      <c r="D50" s="7" t="s">
        <v>7</v>
      </c>
      <c r="E50" s="4" t="s">
        <v>8</v>
      </c>
      <c r="F50" s="148" t="s">
        <v>27</v>
      </c>
      <c r="G50" s="149"/>
      <c r="H50" s="1">
        <f>I50</f>
        <v>333</v>
      </c>
      <c r="I50" s="65">
        <v>333</v>
      </c>
    </row>
    <row r="51" spans="4:9" x14ac:dyDescent="0.2">
      <c r="D51" s="5" t="s">
        <v>7</v>
      </c>
      <c r="E51" s="1" t="s">
        <v>10</v>
      </c>
      <c r="F51" s="148" t="s">
        <v>27</v>
      </c>
      <c r="G51" s="149"/>
      <c r="H51" s="1">
        <v>20</v>
      </c>
      <c r="I51" s="61">
        <v>80</v>
      </c>
    </row>
    <row r="52" spans="4:9" x14ac:dyDescent="0.2">
      <c r="D52" s="5" t="s">
        <v>7</v>
      </c>
      <c r="E52" s="1" t="s">
        <v>13</v>
      </c>
      <c r="F52" s="148" t="s">
        <v>27</v>
      </c>
      <c r="G52" s="149"/>
      <c r="H52" s="1">
        <v>15</v>
      </c>
      <c r="I52" s="61">
        <v>70</v>
      </c>
    </row>
    <row r="53" spans="4:9" x14ac:dyDescent="0.2">
      <c r="D53" s="5" t="s">
        <v>14</v>
      </c>
      <c r="E53" s="1" t="s">
        <v>13</v>
      </c>
      <c r="F53" s="148" t="s">
        <v>27</v>
      </c>
      <c r="G53" s="149"/>
      <c r="H53" s="1">
        <v>10</v>
      </c>
      <c r="I53" s="61">
        <v>50</v>
      </c>
    </row>
    <row r="54" spans="4:9" x14ac:dyDescent="0.2">
      <c r="D54" s="5" t="s">
        <v>14</v>
      </c>
      <c r="E54" s="1" t="s">
        <v>10</v>
      </c>
      <c r="F54" s="148" t="s">
        <v>27</v>
      </c>
      <c r="G54" s="149"/>
      <c r="H54" s="1">
        <v>15</v>
      </c>
      <c r="I54" s="61">
        <v>60</v>
      </c>
    </row>
    <row r="55" spans="4:9" ht="14.3" thickBot="1" x14ac:dyDescent="0.3">
      <c r="D55" s="14" t="s">
        <v>14</v>
      </c>
      <c r="E55" s="15" t="s">
        <v>8</v>
      </c>
      <c r="F55" s="150" t="s">
        <v>27</v>
      </c>
      <c r="G55" s="151"/>
      <c r="H55" s="1">
        <f>I55</f>
        <v>222</v>
      </c>
      <c r="I55" s="66">
        <v>222</v>
      </c>
    </row>
  </sheetData>
  <mergeCells count="41">
    <mergeCell ref="F52:G52"/>
    <mergeCell ref="F53:G53"/>
    <mergeCell ref="F54:G54"/>
    <mergeCell ref="F55:G55"/>
    <mergeCell ref="F47:G47"/>
    <mergeCell ref="F48:G48"/>
    <mergeCell ref="F49:G49"/>
    <mergeCell ref="F50:G50"/>
    <mergeCell ref="F51:G51"/>
    <mergeCell ref="D41:I42"/>
    <mergeCell ref="F43:G43"/>
    <mergeCell ref="F44:G44"/>
    <mergeCell ref="F45:G45"/>
    <mergeCell ref="F46:G46"/>
    <mergeCell ref="D37:D38"/>
    <mergeCell ref="F37:H37"/>
    <mergeCell ref="F38:H38"/>
    <mergeCell ref="D31:H32"/>
    <mergeCell ref="F35:H35"/>
    <mergeCell ref="F36:H36"/>
    <mergeCell ref="D33:D34"/>
    <mergeCell ref="E33:H33"/>
    <mergeCell ref="F34:H34"/>
    <mergeCell ref="D2:J3"/>
    <mergeCell ref="D14:I15"/>
    <mergeCell ref="F22:G22"/>
    <mergeCell ref="F23:G23"/>
    <mergeCell ref="F4:G4"/>
    <mergeCell ref="F26:G26"/>
    <mergeCell ref="F27:G27"/>
    <mergeCell ref="F28:G28"/>
    <mergeCell ref="A11:A12"/>
    <mergeCell ref="A13:A14"/>
    <mergeCell ref="F16:G16"/>
    <mergeCell ref="F17:G17"/>
    <mergeCell ref="F24:G24"/>
    <mergeCell ref="F25:G25"/>
    <mergeCell ref="F18:G18"/>
    <mergeCell ref="F19:G19"/>
    <mergeCell ref="F20:G20"/>
    <mergeCell ref="F21:G21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2"/>
  <sheetViews>
    <sheetView tabSelected="1" workbookViewId="0">
      <selection activeCell="L24" sqref="L24"/>
    </sheetView>
  </sheetViews>
  <sheetFormatPr defaultRowHeight="12.9" x14ac:dyDescent="0.2"/>
  <cols>
    <col min="2" max="2" width="13.375" customWidth="1"/>
    <col min="3" max="3" width="17.375" customWidth="1"/>
    <col min="4" max="5" width="7.125" customWidth="1"/>
    <col min="6" max="6" width="8.625" customWidth="1"/>
    <col min="7" max="7" width="12" customWidth="1"/>
    <col min="8" max="8" width="11.375" customWidth="1"/>
    <col min="10" max="10" width="18.25" customWidth="1"/>
    <col min="11" max="11" width="7.375" customWidth="1"/>
    <col min="12" max="12" width="7.875" customWidth="1"/>
    <col min="14" max="14" width="12.25" customWidth="1"/>
  </cols>
  <sheetData>
    <row r="1" spans="1:15" ht="13.6" thickBot="1" x14ac:dyDescent="0.25"/>
    <row r="2" spans="1:15" x14ac:dyDescent="0.2">
      <c r="B2" s="157" t="s">
        <v>34</v>
      </c>
      <c r="C2" s="158"/>
      <c r="D2" s="158"/>
      <c r="E2" s="158"/>
      <c r="F2" s="158"/>
      <c r="G2" s="158"/>
      <c r="H2" s="159"/>
    </row>
    <row r="3" spans="1:15" ht="13.6" thickBot="1" x14ac:dyDescent="0.25">
      <c r="B3" s="160"/>
      <c r="C3" s="161"/>
      <c r="D3" s="161"/>
      <c r="E3" s="161"/>
      <c r="F3" s="161"/>
      <c r="G3" s="161"/>
      <c r="H3" s="162"/>
    </row>
    <row r="4" spans="1:15" ht="25.5" customHeight="1" x14ac:dyDescent="0.25">
      <c r="B4" s="32" t="s">
        <v>35</v>
      </c>
      <c r="C4" s="80" t="s">
        <v>2</v>
      </c>
      <c r="D4" s="154" t="s">
        <v>3</v>
      </c>
      <c r="E4" s="154"/>
      <c r="F4" s="80" t="s">
        <v>4</v>
      </c>
      <c r="G4" s="80" t="s">
        <v>36</v>
      </c>
      <c r="H4" s="34" t="s">
        <v>6</v>
      </c>
    </row>
    <row r="5" spans="1:15" ht="13.6" x14ac:dyDescent="0.25">
      <c r="B5" s="17" t="s">
        <v>7</v>
      </c>
      <c r="C5" s="18" t="s">
        <v>37</v>
      </c>
      <c r="D5" s="19" t="s">
        <v>11</v>
      </c>
      <c r="E5" s="19" t="s">
        <v>12</v>
      </c>
      <c r="F5" s="1">
        <v>20</v>
      </c>
      <c r="G5" s="1">
        <v>1000</v>
      </c>
      <c r="H5" s="8"/>
    </row>
    <row r="6" spans="1:15" ht="13.6" x14ac:dyDescent="0.25">
      <c r="B6" s="7" t="s">
        <v>7</v>
      </c>
      <c r="C6" s="4" t="s">
        <v>38</v>
      </c>
      <c r="D6" s="3" t="s">
        <v>11</v>
      </c>
      <c r="E6" s="3" t="s">
        <v>12</v>
      </c>
      <c r="F6" s="1">
        <v>15</v>
      </c>
      <c r="G6" s="1"/>
      <c r="H6" s="27">
        <v>11000</v>
      </c>
    </row>
    <row r="7" spans="1:15" x14ac:dyDescent="0.2">
      <c r="B7" s="17" t="s">
        <v>14</v>
      </c>
      <c r="C7" s="18" t="s">
        <v>37</v>
      </c>
      <c r="D7" s="19" t="s">
        <v>15</v>
      </c>
      <c r="E7" s="19" t="s">
        <v>12</v>
      </c>
      <c r="F7" s="1">
        <v>10</v>
      </c>
      <c r="G7" s="1">
        <v>1000</v>
      </c>
      <c r="H7" s="6"/>
    </row>
    <row r="8" spans="1:15" ht="14.3" thickBot="1" x14ac:dyDescent="0.3">
      <c r="A8" s="152" t="s">
        <v>16</v>
      </c>
      <c r="B8" s="14" t="s">
        <v>14</v>
      </c>
      <c r="C8" s="15" t="s">
        <v>38</v>
      </c>
      <c r="D8" s="20" t="s">
        <v>15</v>
      </c>
      <c r="E8" s="20" t="s">
        <v>12</v>
      </c>
      <c r="F8" s="11">
        <v>15</v>
      </c>
      <c r="G8" s="11"/>
      <c r="H8" s="28">
        <v>9000</v>
      </c>
    </row>
    <row r="9" spans="1:15" x14ac:dyDescent="0.2">
      <c r="A9" s="152"/>
    </row>
    <row r="10" spans="1:15" x14ac:dyDescent="0.2">
      <c r="A10" s="153" t="s">
        <v>17</v>
      </c>
    </row>
    <row r="11" spans="1:15" ht="13.6" thickBot="1" x14ac:dyDescent="0.25">
      <c r="A11" s="153"/>
    </row>
    <row r="12" spans="1:15" x14ac:dyDescent="0.2">
      <c r="B12" s="163" t="s">
        <v>39</v>
      </c>
      <c r="C12" s="164"/>
      <c r="D12" s="164"/>
      <c r="E12" s="164"/>
      <c r="F12" s="164"/>
      <c r="G12" s="165"/>
      <c r="I12" s="187" t="s">
        <v>40</v>
      </c>
      <c r="J12" s="188"/>
      <c r="K12" s="188"/>
      <c r="L12" s="188"/>
      <c r="M12" s="188"/>
      <c r="N12" s="188"/>
      <c r="O12" s="189"/>
    </row>
    <row r="13" spans="1:15" ht="13.6" thickBot="1" x14ac:dyDescent="0.25">
      <c r="B13" s="166"/>
      <c r="C13" s="167"/>
      <c r="D13" s="167"/>
      <c r="E13" s="167"/>
      <c r="F13" s="167"/>
      <c r="G13" s="168"/>
      <c r="I13" s="190"/>
      <c r="J13" s="191"/>
      <c r="K13" s="191"/>
      <c r="L13" s="191"/>
      <c r="M13" s="191"/>
      <c r="N13" s="191"/>
      <c r="O13" s="192"/>
    </row>
    <row r="14" spans="1:15" ht="27.2" x14ac:dyDescent="0.25">
      <c r="B14" s="32" t="s">
        <v>1</v>
      </c>
      <c r="C14" s="80" t="s">
        <v>2</v>
      </c>
      <c r="D14" s="154" t="s">
        <v>21</v>
      </c>
      <c r="E14" s="154"/>
      <c r="F14" s="80" t="s">
        <v>4</v>
      </c>
      <c r="G14" s="33" t="s">
        <v>5</v>
      </c>
      <c r="I14" s="32" t="s">
        <v>35</v>
      </c>
      <c r="J14" s="80" t="s">
        <v>2</v>
      </c>
      <c r="K14" s="154" t="s">
        <v>19</v>
      </c>
      <c r="L14" s="154"/>
      <c r="M14" s="80" t="s">
        <v>4</v>
      </c>
      <c r="N14" s="80" t="s">
        <v>36</v>
      </c>
      <c r="O14" s="34" t="s">
        <v>6</v>
      </c>
    </row>
    <row r="15" spans="1:15" ht="13.6" x14ac:dyDescent="0.25">
      <c r="B15" s="5" t="s">
        <v>7</v>
      </c>
      <c r="C15" s="1" t="s">
        <v>8</v>
      </c>
      <c r="D15" s="155" t="s">
        <v>23</v>
      </c>
      <c r="E15" s="156"/>
      <c r="F15" s="1">
        <v>10000</v>
      </c>
      <c r="G15" s="6">
        <v>10000</v>
      </c>
      <c r="I15" s="17" t="s">
        <v>7</v>
      </c>
      <c r="J15" s="18" t="s">
        <v>37</v>
      </c>
      <c r="K15" s="155" t="s">
        <v>23</v>
      </c>
      <c r="L15" s="156"/>
      <c r="M15" s="1">
        <v>20</v>
      </c>
      <c r="N15" s="1">
        <v>1000</v>
      </c>
      <c r="O15" s="8"/>
    </row>
    <row r="16" spans="1:15" x14ac:dyDescent="0.2">
      <c r="B16" s="5" t="s">
        <v>7</v>
      </c>
      <c r="C16" s="1" t="s">
        <v>10</v>
      </c>
      <c r="D16" s="155" t="s">
        <v>23</v>
      </c>
      <c r="E16" s="156"/>
      <c r="F16" s="1">
        <v>20</v>
      </c>
      <c r="G16" s="6">
        <v>2000</v>
      </c>
      <c r="I16" s="21" t="s">
        <v>7</v>
      </c>
      <c r="J16" s="22" t="s">
        <v>38</v>
      </c>
      <c r="K16" s="155" t="s">
        <v>23</v>
      </c>
      <c r="L16" s="156"/>
      <c r="M16" s="1">
        <v>15</v>
      </c>
      <c r="N16" s="1">
        <v>1650</v>
      </c>
      <c r="O16" s="6"/>
    </row>
    <row r="17" spans="2:15" x14ac:dyDescent="0.2">
      <c r="B17" s="5" t="s">
        <v>7</v>
      </c>
      <c r="C17" s="1" t="s">
        <v>13</v>
      </c>
      <c r="D17" s="155" t="s">
        <v>23</v>
      </c>
      <c r="E17" s="156"/>
      <c r="F17" s="1">
        <v>15</v>
      </c>
      <c r="G17" s="6">
        <v>1800</v>
      </c>
      <c r="I17" s="21" t="s">
        <v>7</v>
      </c>
      <c r="J17" s="22" t="s">
        <v>37</v>
      </c>
      <c r="K17" s="155" t="s">
        <v>26</v>
      </c>
      <c r="L17" s="156"/>
      <c r="M17" s="1">
        <v>10</v>
      </c>
      <c r="N17" s="1">
        <v>1000</v>
      </c>
      <c r="O17" s="6"/>
    </row>
    <row r="18" spans="2:15" ht="13.6" x14ac:dyDescent="0.25">
      <c r="B18" s="5" t="s">
        <v>7</v>
      </c>
      <c r="C18" s="1" t="s">
        <v>8</v>
      </c>
      <c r="D18" s="155" t="s">
        <v>26</v>
      </c>
      <c r="E18" s="156"/>
      <c r="F18" s="1">
        <v>10000</v>
      </c>
      <c r="G18" s="6">
        <v>10000</v>
      </c>
      <c r="I18" s="21" t="s">
        <v>7</v>
      </c>
      <c r="J18" s="22" t="s">
        <v>38</v>
      </c>
      <c r="K18" s="155" t="s">
        <v>26</v>
      </c>
      <c r="L18" s="156"/>
      <c r="M18" s="1">
        <v>15</v>
      </c>
      <c r="N18" s="1">
        <v>1650</v>
      </c>
      <c r="O18" s="8"/>
    </row>
    <row r="19" spans="2:15" ht="13.6" x14ac:dyDescent="0.25">
      <c r="B19" s="5" t="s">
        <v>7</v>
      </c>
      <c r="C19" s="1" t="s">
        <v>10</v>
      </c>
      <c r="D19" s="155" t="s">
        <v>26</v>
      </c>
      <c r="E19" s="156"/>
      <c r="F19" s="1">
        <v>20</v>
      </c>
      <c r="G19" s="6">
        <v>2000</v>
      </c>
      <c r="I19" s="7" t="s">
        <v>7</v>
      </c>
      <c r="J19" s="4" t="s">
        <v>37</v>
      </c>
      <c r="K19" s="148" t="s">
        <v>11</v>
      </c>
      <c r="L19" s="149"/>
      <c r="M19" s="1">
        <v>20</v>
      </c>
      <c r="N19" s="26">
        <v>1000</v>
      </c>
      <c r="O19" s="8"/>
    </row>
    <row r="20" spans="2:15" x14ac:dyDescent="0.2">
      <c r="B20" s="5" t="s">
        <v>7</v>
      </c>
      <c r="C20" s="1" t="s">
        <v>13</v>
      </c>
      <c r="D20" s="155" t="s">
        <v>26</v>
      </c>
      <c r="E20" s="156"/>
      <c r="F20" s="1">
        <v>15</v>
      </c>
      <c r="G20" s="6">
        <v>1800</v>
      </c>
      <c r="I20" s="21" t="s">
        <v>7</v>
      </c>
      <c r="J20" s="22" t="s">
        <v>38</v>
      </c>
      <c r="K20" s="148" t="s">
        <v>11</v>
      </c>
      <c r="L20" s="149"/>
      <c r="M20" s="1">
        <v>15</v>
      </c>
      <c r="N20" s="1"/>
      <c r="O20" s="6"/>
    </row>
    <row r="21" spans="2:15" ht="13.6" x14ac:dyDescent="0.25">
      <c r="B21" s="7" t="s">
        <v>7</v>
      </c>
      <c r="C21" s="4" t="s">
        <v>8</v>
      </c>
      <c r="D21" s="148" t="s">
        <v>27</v>
      </c>
      <c r="E21" s="149"/>
      <c r="F21" s="1">
        <v>10000</v>
      </c>
      <c r="G21" s="25">
        <v>10000</v>
      </c>
      <c r="I21" s="9" t="s">
        <v>14</v>
      </c>
      <c r="J21" s="4" t="s">
        <v>37</v>
      </c>
      <c r="K21" s="148" t="s">
        <v>11</v>
      </c>
      <c r="L21" s="149"/>
      <c r="M21" s="1">
        <v>10</v>
      </c>
      <c r="N21" s="29">
        <v>1000</v>
      </c>
      <c r="O21" s="6"/>
    </row>
    <row r="22" spans="2:15" ht="14.3" thickBot="1" x14ac:dyDescent="0.3">
      <c r="B22" s="5" t="s">
        <v>7</v>
      </c>
      <c r="C22" s="1" t="s">
        <v>10</v>
      </c>
      <c r="D22" s="148" t="s">
        <v>27</v>
      </c>
      <c r="E22" s="149"/>
      <c r="F22" s="1">
        <v>20</v>
      </c>
      <c r="G22" s="6"/>
      <c r="I22" s="23" t="s">
        <v>14</v>
      </c>
      <c r="J22" s="24" t="s">
        <v>38</v>
      </c>
      <c r="K22" s="148" t="s">
        <v>11</v>
      </c>
      <c r="L22" s="149"/>
      <c r="M22" s="11">
        <v>15</v>
      </c>
      <c r="N22" s="11"/>
      <c r="O22" s="16"/>
    </row>
    <row r="23" spans="2:15" x14ac:dyDescent="0.2">
      <c r="B23" s="5" t="s">
        <v>7</v>
      </c>
      <c r="C23" s="1" t="s">
        <v>13</v>
      </c>
      <c r="D23" s="148" t="s">
        <v>27</v>
      </c>
      <c r="E23" s="149"/>
      <c r="F23" s="1">
        <v>15</v>
      </c>
      <c r="G23" s="6"/>
    </row>
    <row r="24" spans="2:15" x14ac:dyDescent="0.2">
      <c r="B24" s="5" t="s">
        <v>14</v>
      </c>
      <c r="C24" s="1" t="s">
        <v>13</v>
      </c>
      <c r="D24" s="148" t="s">
        <v>27</v>
      </c>
      <c r="E24" s="149"/>
      <c r="F24" s="1">
        <v>10</v>
      </c>
      <c r="G24" s="6"/>
    </row>
    <row r="25" spans="2:15" x14ac:dyDescent="0.2">
      <c r="B25" s="5" t="s">
        <v>14</v>
      </c>
      <c r="C25" s="1" t="s">
        <v>10</v>
      </c>
      <c r="D25" s="148" t="s">
        <v>27</v>
      </c>
      <c r="E25" s="149"/>
      <c r="F25" s="1">
        <v>15</v>
      </c>
      <c r="G25" s="6"/>
    </row>
    <row r="26" spans="2:15" ht="14.3" thickBot="1" x14ac:dyDescent="0.3">
      <c r="B26" s="14" t="s">
        <v>14</v>
      </c>
      <c r="C26" s="15" t="s">
        <v>8</v>
      </c>
      <c r="D26" s="150" t="s">
        <v>27</v>
      </c>
      <c r="E26" s="151"/>
      <c r="F26" s="11">
        <v>8000</v>
      </c>
      <c r="G26" s="28">
        <v>8000</v>
      </c>
    </row>
    <row r="28" spans="2:15" ht="13.6" thickBot="1" x14ac:dyDescent="0.25"/>
    <row r="29" spans="2:15" x14ac:dyDescent="0.2">
      <c r="B29" s="175" t="s">
        <v>41</v>
      </c>
      <c r="C29" s="176"/>
      <c r="D29" s="176"/>
      <c r="E29" s="176"/>
      <c r="F29" s="177"/>
    </row>
    <row r="30" spans="2:15" ht="13.6" thickBot="1" x14ac:dyDescent="0.25">
      <c r="B30" s="178"/>
      <c r="C30" s="179"/>
      <c r="D30" s="179"/>
      <c r="E30" s="179"/>
      <c r="F30" s="180"/>
    </row>
    <row r="31" spans="2:15" ht="25.5" customHeight="1" x14ac:dyDescent="0.2">
      <c r="B31" s="181" t="s">
        <v>29</v>
      </c>
      <c r="C31" s="183" t="s">
        <v>30</v>
      </c>
      <c r="D31" s="183"/>
      <c r="E31" s="183"/>
      <c r="F31" s="184"/>
    </row>
    <row r="32" spans="2:15" ht="13.6" x14ac:dyDescent="0.25">
      <c r="B32" s="182"/>
      <c r="C32" s="82" t="s">
        <v>29</v>
      </c>
      <c r="D32" s="185" t="s">
        <v>31</v>
      </c>
      <c r="E32" s="185"/>
      <c r="F32" s="186"/>
    </row>
    <row r="33" spans="2:15" ht="25.85" x14ac:dyDescent="0.2">
      <c r="B33" s="30" t="s">
        <v>42</v>
      </c>
      <c r="C33" s="1"/>
      <c r="D33" s="171"/>
      <c r="E33" s="171"/>
      <c r="F33" s="172"/>
    </row>
    <row r="34" spans="2:15" ht="25.5" customHeight="1" x14ac:dyDescent="0.2">
      <c r="B34" s="193" t="s">
        <v>43</v>
      </c>
      <c r="C34" s="4" t="s">
        <v>8</v>
      </c>
      <c r="D34" s="171" t="s">
        <v>32</v>
      </c>
      <c r="E34" s="171"/>
      <c r="F34" s="172"/>
    </row>
    <row r="35" spans="2:15" ht="25.5" customHeight="1" thickBot="1" x14ac:dyDescent="0.25">
      <c r="B35" s="194"/>
      <c r="C35" s="15" t="s">
        <v>42</v>
      </c>
      <c r="D35" s="173" t="s">
        <v>44</v>
      </c>
      <c r="E35" s="173"/>
      <c r="F35" s="174"/>
    </row>
    <row r="37" spans="2:15" ht="13.6" thickBot="1" x14ac:dyDescent="0.25"/>
    <row r="38" spans="2:15" x14ac:dyDescent="0.2">
      <c r="B38" s="163" t="s">
        <v>45</v>
      </c>
      <c r="C38" s="164"/>
      <c r="D38" s="164"/>
      <c r="E38" s="164"/>
      <c r="F38" s="164"/>
      <c r="G38" s="165"/>
      <c r="I38" s="187" t="s">
        <v>46</v>
      </c>
      <c r="J38" s="188"/>
      <c r="K38" s="188"/>
      <c r="L38" s="188"/>
      <c r="M38" s="188"/>
      <c r="N38" s="188"/>
      <c r="O38" s="189"/>
    </row>
    <row r="39" spans="2:15" ht="13.6" thickBot="1" x14ac:dyDescent="0.25">
      <c r="B39" s="166"/>
      <c r="C39" s="167"/>
      <c r="D39" s="167"/>
      <c r="E39" s="167"/>
      <c r="F39" s="167"/>
      <c r="G39" s="168"/>
      <c r="I39" s="190"/>
      <c r="J39" s="191"/>
      <c r="K39" s="191"/>
      <c r="L39" s="191"/>
      <c r="M39" s="191"/>
      <c r="N39" s="191"/>
      <c r="O39" s="192"/>
    </row>
    <row r="40" spans="2:15" ht="27.2" x14ac:dyDescent="0.25">
      <c r="B40" s="32" t="s">
        <v>1</v>
      </c>
      <c r="C40" s="80" t="s">
        <v>2</v>
      </c>
      <c r="D40" s="154" t="s">
        <v>47</v>
      </c>
      <c r="E40" s="154"/>
      <c r="F40" s="80" t="s">
        <v>4</v>
      </c>
      <c r="G40" s="33" t="s">
        <v>5</v>
      </c>
      <c r="I40" s="32" t="s">
        <v>35</v>
      </c>
      <c r="J40" s="80" t="s">
        <v>2</v>
      </c>
      <c r="K40" s="154" t="s">
        <v>47</v>
      </c>
      <c r="L40" s="154"/>
      <c r="M40" s="80" t="s">
        <v>4</v>
      </c>
      <c r="N40" s="80" t="s">
        <v>5</v>
      </c>
      <c r="O40" s="34" t="s">
        <v>6</v>
      </c>
    </row>
    <row r="41" spans="2:15" ht="13.6" x14ac:dyDescent="0.25">
      <c r="B41" s="5" t="s">
        <v>7</v>
      </c>
      <c r="C41" s="1" t="s">
        <v>8</v>
      </c>
      <c r="D41" s="155" t="s">
        <v>23</v>
      </c>
      <c r="E41" s="156"/>
      <c r="F41" s="1">
        <v>10000</v>
      </c>
      <c r="G41" s="61">
        <v>10000</v>
      </c>
      <c r="I41" s="17" t="s">
        <v>7</v>
      </c>
      <c r="J41" s="18" t="s">
        <v>37</v>
      </c>
      <c r="K41" s="155" t="s">
        <v>23</v>
      </c>
      <c r="L41" s="156"/>
      <c r="M41" s="1">
        <v>20</v>
      </c>
      <c r="N41" s="1">
        <v>1000</v>
      </c>
      <c r="O41" s="8"/>
    </row>
    <row r="42" spans="2:15" x14ac:dyDescent="0.2">
      <c r="B42" s="5" t="s">
        <v>7</v>
      </c>
      <c r="C42" s="1" t="s">
        <v>10</v>
      </c>
      <c r="D42" s="155" t="s">
        <v>23</v>
      </c>
      <c r="E42" s="156"/>
      <c r="F42" s="1">
        <v>20</v>
      </c>
      <c r="G42" s="61">
        <v>2000</v>
      </c>
      <c r="I42" s="21" t="s">
        <v>7</v>
      </c>
      <c r="J42" s="22" t="s">
        <v>38</v>
      </c>
      <c r="K42" s="155" t="s">
        <v>23</v>
      </c>
      <c r="L42" s="156"/>
      <c r="M42" s="1">
        <v>15</v>
      </c>
      <c r="N42" s="1">
        <v>1650</v>
      </c>
      <c r="O42" s="6"/>
    </row>
    <row r="43" spans="2:15" x14ac:dyDescent="0.2">
      <c r="B43" s="5" t="s">
        <v>7</v>
      </c>
      <c r="C43" s="1" t="s">
        <v>13</v>
      </c>
      <c r="D43" s="155" t="s">
        <v>23</v>
      </c>
      <c r="E43" s="156"/>
      <c r="F43" s="1">
        <v>15</v>
      </c>
      <c r="G43" s="61">
        <v>1800</v>
      </c>
      <c r="I43" s="21" t="s">
        <v>7</v>
      </c>
      <c r="J43" s="22" t="s">
        <v>37</v>
      </c>
      <c r="K43" s="155" t="s">
        <v>26</v>
      </c>
      <c r="L43" s="156"/>
      <c r="M43" s="1">
        <v>10</v>
      </c>
      <c r="N43" s="1">
        <v>1000</v>
      </c>
      <c r="O43" s="6"/>
    </row>
    <row r="44" spans="2:15" ht="13.6" x14ac:dyDescent="0.25">
      <c r="B44" s="5" t="s">
        <v>7</v>
      </c>
      <c r="C44" s="1" t="s">
        <v>8</v>
      </c>
      <c r="D44" s="155" t="s">
        <v>26</v>
      </c>
      <c r="E44" s="156"/>
      <c r="F44" s="1">
        <v>10000</v>
      </c>
      <c r="G44" s="61">
        <v>10000</v>
      </c>
      <c r="I44" s="21" t="s">
        <v>7</v>
      </c>
      <c r="J44" s="22" t="s">
        <v>38</v>
      </c>
      <c r="K44" s="155" t="s">
        <v>26</v>
      </c>
      <c r="L44" s="156"/>
      <c r="M44" s="1">
        <v>15</v>
      </c>
      <c r="N44" s="1">
        <v>1650</v>
      </c>
      <c r="O44" s="8"/>
    </row>
    <row r="45" spans="2:15" ht="13.6" x14ac:dyDescent="0.25">
      <c r="B45" s="5" t="s">
        <v>7</v>
      </c>
      <c r="C45" s="1" t="s">
        <v>10</v>
      </c>
      <c r="D45" s="155" t="s">
        <v>26</v>
      </c>
      <c r="E45" s="156"/>
      <c r="F45" s="1">
        <v>20</v>
      </c>
      <c r="G45" s="61">
        <v>2000</v>
      </c>
      <c r="I45" s="52" t="s">
        <v>7</v>
      </c>
      <c r="J45" s="53" t="s">
        <v>37</v>
      </c>
      <c r="K45" s="195" t="s">
        <v>27</v>
      </c>
      <c r="L45" s="196"/>
      <c r="M45" s="53">
        <v>20</v>
      </c>
      <c r="N45" s="59">
        <v>1000</v>
      </c>
      <c r="O45" s="54"/>
    </row>
    <row r="46" spans="2:15" x14ac:dyDescent="0.2">
      <c r="B46" s="5" t="s">
        <v>7</v>
      </c>
      <c r="C46" s="1" t="s">
        <v>13</v>
      </c>
      <c r="D46" s="155" t="s">
        <v>26</v>
      </c>
      <c r="E46" s="156"/>
      <c r="F46" s="1">
        <v>15</v>
      </c>
      <c r="G46" s="61">
        <v>1800</v>
      </c>
      <c r="I46" s="52" t="s">
        <v>7</v>
      </c>
      <c r="J46" s="53" t="s">
        <v>38</v>
      </c>
      <c r="K46" s="195" t="s">
        <v>27</v>
      </c>
      <c r="L46" s="196"/>
      <c r="M46" s="53">
        <v>15</v>
      </c>
      <c r="N46" s="53"/>
      <c r="O46" s="55"/>
    </row>
    <row r="47" spans="2:15" ht="13.6" x14ac:dyDescent="0.25">
      <c r="B47" s="52" t="s">
        <v>7</v>
      </c>
      <c r="C47" s="53" t="s">
        <v>8</v>
      </c>
      <c r="D47" s="195" t="s">
        <v>27</v>
      </c>
      <c r="E47" s="196"/>
      <c r="F47" s="53">
        <v>10000</v>
      </c>
      <c r="G47" s="62">
        <v>10000</v>
      </c>
      <c r="I47" s="52" t="s">
        <v>14</v>
      </c>
      <c r="J47" s="53" t="s">
        <v>37</v>
      </c>
      <c r="K47" s="195" t="s">
        <v>27</v>
      </c>
      <c r="L47" s="196"/>
      <c r="M47" s="53">
        <v>10</v>
      </c>
      <c r="N47" s="59">
        <v>1000</v>
      </c>
      <c r="O47" s="55"/>
    </row>
    <row r="48" spans="2:15" ht="14.3" thickBot="1" x14ac:dyDescent="0.3">
      <c r="B48" s="52" t="s">
        <v>7</v>
      </c>
      <c r="C48" s="53" t="s">
        <v>10</v>
      </c>
      <c r="D48" s="195" t="s">
        <v>27</v>
      </c>
      <c r="E48" s="196"/>
      <c r="F48" s="53">
        <v>20</v>
      </c>
      <c r="G48" s="63"/>
      <c r="I48" s="56" t="s">
        <v>14</v>
      </c>
      <c r="J48" s="57" t="s">
        <v>38</v>
      </c>
      <c r="K48" s="197" t="s">
        <v>27</v>
      </c>
      <c r="L48" s="198"/>
      <c r="M48" s="57">
        <v>15</v>
      </c>
      <c r="N48" s="57"/>
      <c r="O48" s="58"/>
    </row>
    <row r="49" spans="2:7" x14ac:dyDescent="0.2">
      <c r="B49" s="52" t="s">
        <v>7</v>
      </c>
      <c r="C49" s="53" t="s">
        <v>13</v>
      </c>
      <c r="D49" s="195" t="s">
        <v>27</v>
      </c>
      <c r="E49" s="196"/>
      <c r="F49" s="53">
        <v>15</v>
      </c>
      <c r="G49" s="63"/>
    </row>
    <row r="50" spans="2:7" x14ac:dyDescent="0.2">
      <c r="B50" s="52" t="s">
        <v>14</v>
      </c>
      <c r="C50" s="53" t="s">
        <v>13</v>
      </c>
      <c r="D50" s="195" t="s">
        <v>27</v>
      </c>
      <c r="E50" s="196"/>
      <c r="F50" s="53">
        <v>10</v>
      </c>
      <c r="G50" s="63"/>
    </row>
    <row r="51" spans="2:7" x14ac:dyDescent="0.2">
      <c r="B51" s="52" t="s">
        <v>14</v>
      </c>
      <c r="C51" s="53" t="s">
        <v>10</v>
      </c>
      <c r="D51" s="195" t="s">
        <v>27</v>
      </c>
      <c r="E51" s="196"/>
      <c r="F51" s="53">
        <v>15</v>
      </c>
      <c r="G51" s="63"/>
    </row>
    <row r="52" spans="2:7" ht="14.3" thickBot="1" x14ac:dyDescent="0.3">
      <c r="B52" s="56" t="s">
        <v>14</v>
      </c>
      <c r="C52" s="57" t="s">
        <v>8</v>
      </c>
      <c r="D52" s="197" t="s">
        <v>27</v>
      </c>
      <c r="E52" s="198"/>
      <c r="F52" s="57">
        <v>8000</v>
      </c>
      <c r="G52" s="64">
        <v>8000</v>
      </c>
    </row>
  </sheetData>
  <mergeCells count="60">
    <mergeCell ref="D51:E51"/>
    <mergeCell ref="D52:E52"/>
    <mergeCell ref="K47:L47"/>
    <mergeCell ref="K48:L48"/>
    <mergeCell ref="K41:L41"/>
    <mergeCell ref="K42:L42"/>
    <mergeCell ref="K43:L43"/>
    <mergeCell ref="K44:L44"/>
    <mergeCell ref="K45:L45"/>
    <mergeCell ref="K46:L46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B38:G39"/>
    <mergeCell ref="D40:E40"/>
    <mergeCell ref="D23:E23"/>
    <mergeCell ref="D24:E24"/>
    <mergeCell ref="D25:E25"/>
    <mergeCell ref="B34:B35"/>
    <mergeCell ref="D34:F34"/>
    <mergeCell ref="D35:F35"/>
    <mergeCell ref="D33:F33"/>
    <mergeCell ref="I38:O39"/>
    <mergeCell ref="K40:L40"/>
    <mergeCell ref="D26:E26"/>
    <mergeCell ref="D32:F32"/>
    <mergeCell ref="B29:F30"/>
    <mergeCell ref="B31:B32"/>
    <mergeCell ref="A8:A9"/>
    <mergeCell ref="A10:A11"/>
    <mergeCell ref="I12:O13"/>
    <mergeCell ref="C31:F31"/>
    <mergeCell ref="K17:L17"/>
    <mergeCell ref="K18:L18"/>
    <mergeCell ref="D17:E17"/>
    <mergeCell ref="D18:E18"/>
    <mergeCell ref="K19:L19"/>
    <mergeCell ref="K16:L16"/>
    <mergeCell ref="K14:L14"/>
    <mergeCell ref="K15:L15"/>
    <mergeCell ref="D19:E19"/>
    <mergeCell ref="D20:E20"/>
    <mergeCell ref="D21:E21"/>
    <mergeCell ref="D22:E22"/>
    <mergeCell ref="K22:L22"/>
    <mergeCell ref="K21:L21"/>
    <mergeCell ref="K20:L20"/>
    <mergeCell ref="D16:E16"/>
    <mergeCell ref="B2:H3"/>
    <mergeCell ref="D4:E4"/>
    <mergeCell ref="B12:G13"/>
    <mergeCell ref="D14:E14"/>
    <mergeCell ref="D15:E15"/>
  </mergeCells>
  <phoneticPr fontId="4" type="noConversion"/>
  <pageMargins left="0.75" right="0.75" top="1" bottom="1" header="0.5" footer="0.5"/>
  <pageSetup paperSize="9" scale="5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opLeftCell="D1" workbookViewId="0">
      <selection activeCell="L13" sqref="L13"/>
    </sheetView>
  </sheetViews>
  <sheetFormatPr defaultRowHeight="12.9" x14ac:dyDescent="0.2"/>
  <cols>
    <col min="2" max="2" width="13.375" customWidth="1"/>
    <col min="3" max="3" width="12.75" customWidth="1"/>
    <col min="4" max="5" width="7.125" customWidth="1"/>
    <col min="6" max="6" width="8.625" customWidth="1"/>
    <col min="7" max="7" width="12" customWidth="1"/>
    <col min="8" max="8" width="11.375" customWidth="1"/>
    <col min="9" max="9" width="18.625" customWidth="1"/>
    <col min="10" max="10" width="19.125" customWidth="1"/>
  </cols>
  <sheetData>
    <row r="1" spans="1:12" ht="13.6" thickBot="1" x14ac:dyDescent="0.25"/>
    <row r="2" spans="1:12" x14ac:dyDescent="0.2">
      <c r="B2" s="157" t="s">
        <v>48</v>
      </c>
      <c r="C2" s="158"/>
      <c r="D2" s="158"/>
      <c r="E2" s="158"/>
      <c r="F2" s="158"/>
      <c r="G2" s="158"/>
      <c r="H2" s="158"/>
      <c r="I2" s="158"/>
      <c r="J2" s="159"/>
    </row>
    <row r="3" spans="1:12" ht="13.6" thickBot="1" x14ac:dyDescent="0.25">
      <c r="B3" s="160"/>
      <c r="C3" s="161"/>
      <c r="D3" s="161"/>
      <c r="E3" s="161"/>
      <c r="F3" s="161"/>
      <c r="G3" s="161"/>
      <c r="H3" s="161"/>
      <c r="I3" s="161"/>
      <c r="J3" s="162"/>
    </row>
    <row r="4" spans="1:12" ht="25.5" customHeight="1" x14ac:dyDescent="0.25">
      <c r="B4" s="32" t="s">
        <v>1</v>
      </c>
      <c r="C4" s="80" t="s">
        <v>2</v>
      </c>
      <c r="D4" s="154" t="s">
        <v>3</v>
      </c>
      <c r="E4" s="154"/>
      <c r="F4" s="80" t="s">
        <v>4</v>
      </c>
      <c r="G4" s="80" t="s">
        <v>5</v>
      </c>
      <c r="H4" s="45" t="s">
        <v>6</v>
      </c>
      <c r="I4" s="45" t="s">
        <v>49</v>
      </c>
      <c r="J4" s="34" t="s">
        <v>50</v>
      </c>
    </row>
    <row r="5" spans="1:12" x14ac:dyDescent="0.2">
      <c r="B5" s="5" t="s">
        <v>7</v>
      </c>
      <c r="C5" s="1" t="s">
        <v>8</v>
      </c>
      <c r="D5" s="2"/>
      <c r="E5" s="2"/>
      <c r="F5" s="1">
        <v>10000</v>
      </c>
      <c r="G5" s="1">
        <v>10000</v>
      </c>
      <c r="H5" s="1"/>
      <c r="I5" s="1" t="s">
        <v>51</v>
      </c>
      <c r="J5" s="6" t="b">
        <v>0</v>
      </c>
    </row>
    <row r="6" spans="1:12" x14ac:dyDescent="0.2">
      <c r="B6" s="21" t="s">
        <v>7</v>
      </c>
      <c r="C6" s="22" t="s">
        <v>10</v>
      </c>
      <c r="D6" s="35" t="s">
        <v>11</v>
      </c>
      <c r="E6" s="35" t="s">
        <v>12</v>
      </c>
      <c r="F6" s="1">
        <v>20</v>
      </c>
      <c r="G6" s="1">
        <v>2000</v>
      </c>
      <c r="H6" s="46">
        <v>10000</v>
      </c>
      <c r="I6" s="1" t="s">
        <v>52</v>
      </c>
      <c r="J6" s="6" t="b">
        <v>0</v>
      </c>
    </row>
    <row r="7" spans="1:12" x14ac:dyDescent="0.2">
      <c r="B7" s="7" t="s">
        <v>7</v>
      </c>
      <c r="C7" s="37" t="s">
        <v>13</v>
      </c>
      <c r="D7" s="3" t="s">
        <v>11</v>
      </c>
      <c r="E7" s="3" t="s">
        <v>12</v>
      </c>
      <c r="F7" s="1">
        <v>15</v>
      </c>
      <c r="G7" s="1"/>
      <c r="H7" s="1">
        <v>10000</v>
      </c>
      <c r="I7" s="44" t="s">
        <v>51</v>
      </c>
      <c r="J7" s="6" t="b">
        <v>1</v>
      </c>
      <c r="L7" s="36">
        <v>1</v>
      </c>
    </row>
    <row r="8" spans="1:12" x14ac:dyDescent="0.2">
      <c r="B8" s="5" t="s">
        <v>7</v>
      </c>
      <c r="C8" s="1" t="s">
        <v>13</v>
      </c>
      <c r="D8" s="2" t="s">
        <v>11</v>
      </c>
      <c r="E8" s="2" t="s">
        <v>12</v>
      </c>
      <c r="F8" s="1">
        <v>15</v>
      </c>
      <c r="G8" s="1"/>
      <c r="H8" s="1"/>
      <c r="I8" s="1" t="s">
        <v>52</v>
      </c>
      <c r="J8" s="6" t="b">
        <v>1</v>
      </c>
    </row>
    <row r="9" spans="1:12" x14ac:dyDescent="0.2">
      <c r="B9" s="5" t="s">
        <v>14</v>
      </c>
      <c r="C9" s="1" t="s">
        <v>13</v>
      </c>
      <c r="D9" s="2" t="s">
        <v>15</v>
      </c>
      <c r="E9" s="2" t="s">
        <v>12</v>
      </c>
      <c r="F9" s="1">
        <v>10</v>
      </c>
      <c r="G9" s="1"/>
      <c r="H9" s="1"/>
      <c r="I9" s="1" t="s">
        <v>51</v>
      </c>
      <c r="J9" s="6" t="b">
        <v>0</v>
      </c>
      <c r="L9" s="38">
        <v>2</v>
      </c>
    </row>
    <row r="10" spans="1:12" x14ac:dyDescent="0.2">
      <c r="B10" s="21" t="s">
        <v>14</v>
      </c>
      <c r="C10" s="22" t="s">
        <v>10</v>
      </c>
      <c r="D10" s="35" t="s">
        <v>15</v>
      </c>
      <c r="E10" s="35" t="s">
        <v>12</v>
      </c>
      <c r="F10" s="1">
        <v>15</v>
      </c>
      <c r="G10" s="1">
        <v>1200</v>
      </c>
      <c r="H10" s="46">
        <v>8000</v>
      </c>
      <c r="I10" s="1" t="s">
        <v>52</v>
      </c>
      <c r="J10" s="6" t="b">
        <v>0</v>
      </c>
    </row>
    <row r="11" spans="1:12" ht="13.6" thickBot="1" x14ac:dyDescent="0.25">
      <c r="B11" s="10" t="s">
        <v>14</v>
      </c>
      <c r="C11" s="11" t="s">
        <v>8</v>
      </c>
      <c r="D11" s="12"/>
      <c r="E11" s="12"/>
      <c r="F11" s="11">
        <v>8000</v>
      </c>
      <c r="G11" s="11">
        <v>8000</v>
      </c>
      <c r="H11" s="11"/>
      <c r="I11" s="11" t="s">
        <v>52</v>
      </c>
      <c r="J11" s="13" t="b">
        <v>0</v>
      </c>
      <c r="L11" s="41">
        <v>3</v>
      </c>
    </row>
    <row r="13" spans="1:12" x14ac:dyDescent="0.2">
      <c r="A13" s="152" t="s">
        <v>16</v>
      </c>
      <c r="L13" s="42">
        <v>4</v>
      </c>
    </row>
    <row r="14" spans="1:12" x14ac:dyDescent="0.2">
      <c r="A14" s="152"/>
      <c r="L14" s="51"/>
    </row>
    <row r="15" spans="1:12" x14ac:dyDescent="0.2">
      <c r="A15" s="153" t="s">
        <v>17</v>
      </c>
      <c r="L15" s="51"/>
    </row>
    <row r="16" spans="1:12" ht="13.6" thickBot="1" x14ac:dyDescent="0.25">
      <c r="A16" s="153"/>
    </row>
    <row r="17" spans="2:9" x14ac:dyDescent="0.2">
      <c r="B17" s="163" t="s">
        <v>53</v>
      </c>
      <c r="C17" s="164"/>
      <c r="D17" s="164"/>
      <c r="E17" s="164"/>
      <c r="F17" s="164"/>
      <c r="G17" s="164"/>
      <c r="H17" s="164"/>
      <c r="I17" s="165"/>
    </row>
    <row r="18" spans="2:9" ht="13.6" thickBot="1" x14ac:dyDescent="0.25">
      <c r="B18" s="166"/>
      <c r="C18" s="167"/>
      <c r="D18" s="167"/>
      <c r="E18" s="167"/>
      <c r="F18" s="167"/>
      <c r="G18" s="167"/>
      <c r="H18" s="167"/>
      <c r="I18" s="168"/>
    </row>
    <row r="19" spans="2:9" ht="27.2" x14ac:dyDescent="0.25">
      <c r="B19" s="32" t="s">
        <v>1</v>
      </c>
      <c r="C19" s="80" t="s">
        <v>2</v>
      </c>
      <c r="D19" s="154" t="s">
        <v>47</v>
      </c>
      <c r="E19" s="154"/>
      <c r="F19" s="80" t="s">
        <v>4</v>
      </c>
      <c r="G19" s="80" t="s">
        <v>5</v>
      </c>
      <c r="H19" s="45" t="s">
        <v>49</v>
      </c>
      <c r="I19" s="34" t="s">
        <v>50</v>
      </c>
    </row>
    <row r="20" spans="2:9" x14ac:dyDescent="0.2">
      <c r="B20" s="5" t="s">
        <v>7</v>
      </c>
      <c r="C20" s="1" t="s">
        <v>8</v>
      </c>
      <c r="D20" s="203" t="s">
        <v>23</v>
      </c>
      <c r="E20" s="203"/>
      <c r="F20" s="1">
        <v>10000</v>
      </c>
      <c r="G20" s="1">
        <v>10000</v>
      </c>
      <c r="H20" s="1" t="s">
        <v>51</v>
      </c>
      <c r="I20" s="6" t="b">
        <v>0</v>
      </c>
    </row>
    <row r="21" spans="2:9" x14ac:dyDescent="0.2">
      <c r="B21" s="5" t="s">
        <v>7</v>
      </c>
      <c r="C21" s="1" t="s">
        <v>10</v>
      </c>
      <c r="D21" s="203" t="s">
        <v>23</v>
      </c>
      <c r="E21" s="203"/>
      <c r="F21" s="1">
        <v>20</v>
      </c>
      <c r="G21" s="1">
        <v>2000</v>
      </c>
      <c r="H21" s="1" t="s">
        <v>52</v>
      </c>
      <c r="I21" s="6" t="b">
        <v>0</v>
      </c>
    </row>
    <row r="22" spans="2:9" x14ac:dyDescent="0.2">
      <c r="B22" s="5" t="s">
        <v>7</v>
      </c>
      <c r="C22" s="1" t="s">
        <v>13</v>
      </c>
      <c r="D22" s="203" t="s">
        <v>23</v>
      </c>
      <c r="E22" s="203"/>
      <c r="F22" s="1">
        <v>15</v>
      </c>
      <c r="G22" s="1">
        <v>1800</v>
      </c>
      <c r="H22" s="1" t="s">
        <v>51</v>
      </c>
      <c r="I22" s="6" t="b">
        <v>0</v>
      </c>
    </row>
    <row r="23" spans="2:9" x14ac:dyDescent="0.2">
      <c r="B23" s="5" t="s">
        <v>7</v>
      </c>
      <c r="C23" s="1" t="s">
        <v>8</v>
      </c>
      <c r="D23" s="203" t="s">
        <v>26</v>
      </c>
      <c r="E23" s="203"/>
      <c r="F23" s="1">
        <v>10000</v>
      </c>
      <c r="G23" s="1">
        <v>10000</v>
      </c>
      <c r="H23" s="1" t="s">
        <v>52</v>
      </c>
      <c r="I23" s="6" t="b">
        <v>0</v>
      </c>
    </row>
    <row r="24" spans="2:9" x14ac:dyDescent="0.2">
      <c r="B24" s="5" t="s">
        <v>7</v>
      </c>
      <c r="C24" s="1" t="s">
        <v>10</v>
      </c>
      <c r="D24" s="203" t="s">
        <v>26</v>
      </c>
      <c r="E24" s="203"/>
      <c r="F24" s="1">
        <v>20</v>
      </c>
      <c r="G24" s="1">
        <v>2000</v>
      </c>
      <c r="H24" s="1" t="s">
        <v>51</v>
      </c>
      <c r="I24" s="6" t="b">
        <v>0</v>
      </c>
    </row>
    <row r="25" spans="2:9" x14ac:dyDescent="0.2">
      <c r="B25" s="5" t="s">
        <v>7</v>
      </c>
      <c r="C25" s="1" t="s">
        <v>13</v>
      </c>
      <c r="D25" s="203" t="s">
        <v>26</v>
      </c>
      <c r="E25" s="203"/>
      <c r="F25" s="1">
        <v>15</v>
      </c>
      <c r="G25" s="1">
        <v>1800</v>
      </c>
      <c r="H25" s="1" t="s">
        <v>52</v>
      </c>
      <c r="I25" s="6" t="b">
        <v>0</v>
      </c>
    </row>
    <row r="26" spans="2:9" ht="13.6" x14ac:dyDescent="0.25">
      <c r="B26" s="7" t="s">
        <v>7</v>
      </c>
      <c r="C26" s="37" t="s">
        <v>8</v>
      </c>
      <c r="D26" s="201" t="s">
        <v>27</v>
      </c>
      <c r="E26" s="201"/>
      <c r="F26" s="1">
        <v>10000</v>
      </c>
      <c r="G26" s="43">
        <v>10000</v>
      </c>
      <c r="H26" s="44" t="s">
        <v>51</v>
      </c>
      <c r="I26" s="6" t="b">
        <v>0</v>
      </c>
    </row>
    <row r="27" spans="2:9" x14ac:dyDescent="0.2">
      <c r="B27" s="7" t="s">
        <v>7</v>
      </c>
      <c r="C27" s="37" t="s">
        <v>10</v>
      </c>
      <c r="D27" s="201" t="s">
        <v>27</v>
      </c>
      <c r="E27" s="201"/>
      <c r="F27" s="1">
        <v>20</v>
      </c>
      <c r="G27" s="1">
        <v>2000</v>
      </c>
      <c r="H27" s="1" t="s">
        <v>52</v>
      </c>
      <c r="I27" s="6" t="b">
        <v>0</v>
      </c>
    </row>
    <row r="28" spans="2:9" x14ac:dyDescent="0.2">
      <c r="B28" s="21" t="s">
        <v>7</v>
      </c>
      <c r="C28" s="22" t="s">
        <v>13</v>
      </c>
      <c r="D28" s="201" t="s">
        <v>27</v>
      </c>
      <c r="E28" s="201"/>
      <c r="F28" s="1">
        <v>15</v>
      </c>
      <c r="G28" s="1"/>
      <c r="H28" s="1"/>
      <c r="I28" s="6" t="b">
        <v>1</v>
      </c>
    </row>
    <row r="29" spans="2:9" x14ac:dyDescent="0.2">
      <c r="B29" s="21" t="s">
        <v>7</v>
      </c>
      <c r="C29" s="22" t="s">
        <v>13</v>
      </c>
      <c r="D29" s="201" t="s">
        <v>27</v>
      </c>
      <c r="E29" s="201"/>
      <c r="F29" s="1">
        <v>15</v>
      </c>
      <c r="G29" s="1"/>
      <c r="H29" s="1"/>
      <c r="I29" s="6" t="b">
        <v>1</v>
      </c>
    </row>
    <row r="30" spans="2:9" x14ac:dyDescent="0.2">
      <c r="B30" s="21" t="s">
        <v>14</v>
      </c>
      <c r="C30" s="22" t="s">
        <v>13</v>
      </c>
      <c r="D30" s="201" t="s">
        <v>27</v>
      </c>
      <c r="E30" s="201"/>
      <c r="F30" s="1">
        <v>10</v>
      </c>
      <c r="G30" s="1"/>
      <c r="H30" s="1"/>
      <c r="I30" s="6" t="b">
        <v>0</v>
      </c>
    </row>
    <row r="31" spans="2:9" x14ac:dyDescent="0.2">
      <c r="B31" s="21" t="s">
        <v>14</v>
      </c>
      <c r="C31" s="37" t="s">
        <v>10</v>
      </c>
      <c r="D31" s="201" t="s">
        <v>27</v>
      </c>
      <c r="E31" s="201"/>
      <c r="F31" s="1">
        <v>15</v>
      </c>
      <c r="G31" s="1"/>
      <c r="H31" s="1"/>
      <c r="I31" s="6" t="b">
        <v>0</v>
      </c>
    </row>
    <row r="32" spans="2:9" ht="14.3" thickBot="1" x14ac:dyDescent="0.3">
      <c r="B32" s="23" t="s">
        <v>14</v>
      </c>
      <c r="C32" s="40" t="s">
        <v>8</v>
      </c>
      <c r="D32" s="202" t="s">
        <v>27</v>
      </c>
      <c r="E32" s="202"/>
      <c r="F32" s="11">
        <v>8000</v>
      </c>
      <c r="G32" s="47">
        <v>8000</v>
      </c>
      <c r="H32" s="11"/>
      <c r="I32" s="13" t="b">
        <v>0</v>
      </c>
    </row>
    <row r="34" spans="2:6" ht="13.6" thickBot="1" x14ac:dyDescent="0.25"/>
    <row r="35" spans="2:6" x14ac:dyDescent="0.2">
      <c r="B35" s="175" t="s">
        <v>28</v>
      </c>
      <c r="C35" s="176"/>
      <c r="D35" s="176"/>
      <c r="E35" s="176"/>
      <c r="F35" s="177"/>
    </row>
    <row r="36" spans="2:6" ht="13.6" thickBot="1" x14ac:dyDescent="0.25">
      <c r="B36" s="178"/>
      <c r="C36" s="179"/>
      <c r="D36" s="179"/>
      <c r="E36" s="179"/>
      <c r="F36" s="180"/>
    </row>
    <row r="37" spans="2:6" ht="13.6" x14ac:dyDescent="0.2">
      <c r="B37" s="181" t="s">
        <v>29</v>
      </c>
      <c r="C37" s="183" t="s">
        <v>30</v>
      </c>
      <c r="D37" s="183"/>
      <c r="E37" s="183"/>
      <c r="F37" s="184"/>
    </row>
    <row r="38" spans="2:6" ht="13.6" x14ac:dyDescent="0.25">
      <c r="B38" s="182"/>
      <c r="C38" s="82" t="s">
        <v>29</v>
      </c>
      <c r="D38" s="185" t="s">
        <v>31</v>
      </c>
      <c r="E38" s="185"/>
      <c r="F38" s="186"/>
    </row>
    <row r="39" spans="2:6" x14ac:dyDescent="0.2">
      <c r="B39" s="30" t="s">
        <v>8</v>
      </c>
      <c r="C39" s="1"/>
      <c r="D39" s="171"/>
      <c r="E39" s="171"/>
      <c r="F39" s="172"/>
    </row>
    <row r="40" spans="2:6" x14ac:dyDescent="0.2">
      <c r="B40" s="81" t="s">
        <v>10</v>
      </c>
      <c r="C40" s="1" t="s">
        <v>8</v>
      </c>
      <c r="D40" s="171" t="s">
        <v>32</v>
      </c>
      <c r="E40" s="171"/>
      <c r="F40" s="172"/>
    </row>
    <row r="41" spans="2:6" x14ac:dyDescent="0.2">
      <c r="B41" s="199" t="s">
        <v>13</v>
      </c>
      <c r="C41" s="37" t="s">
        <v>8</v>
      </c>
      <c r="D41" s="171" t="s">
        <v>32</v>
      </c>
      <c r="E41" s="171"/>
      <c r="F41" s="172"/>
    </row>
    <row r="42" spans="2:6" ht="13.6" thickBot="1" x14ac:dyDescent="0.25">
      <c r="B42" s="200"/>
      <c r="C42" s="39" t="s">
        <v>10</v>
      </c>
      <c r="D42" s="173" t="s">
        <v>32</v>
      </c>
      <c r="E42" s="173"/>
      <c r="F42" s="174"/>
    </row>
  </sheetData>
  <mergeCells count="28">
    <mergeCell ref="A13:A14"/>
    <mergeCell ref="A15:A16"/>
    <mergeCell ref="D4:E4"/>
    <mergeCell ref="D19:E19"/>
    <mergeCell ref="D22:E22"/>
    <mergeCell ref="D24:E24"/>
    <mergeCell ref="D25:E25"/>
    <mergeCell ref="B2:J3"/>
    <mergeCell ref="B17:I18"/>
    <mergeCell ref="D20:E20"/>
    <mergeCell ref="D21:E21"/>
    <mergeCell ref="D23:E23"/>
    <mergeCell ref="D31:E31"/>
    <mergeCell ref="D32:E32"/>
    <mergeCell ref="D29:E29"/>
    <mergeCell ref="B35:F36"/>
    <mergeCell ref="D26:E26"/>
    <mergeCell ref="D27:E27"/>
    <mergeCell ref="D28:E28"/>
    <mergeCell ref="D30:E30"/>
    <mergeCell ref="D40:F40"/>
    <mergeCell ref="B41:B42"/>
    <mergeCell ref="D41:F41"/>
    <mergeCell ref="D42:F42"/>
    <mergeCell ref="B37:B38"/>
    <mergeCell ref="C37:F37"/>
    <mergeCell ref="D38:F38"/>
    <mergeCell ref="D39:F39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9"/>
  <sheetViews>
    <sheetView workbookViewId="0">
      <selection activeCell="C7" sqref="C7"/>
    </sheetView>
  </sheetViews>
  <sheetFormatPr defaultRowHeight="12.9" x14ac:dyDescent="0.2"/>
  <cols>
    <col min="3" max="3" width="11.125" customWidth="1"/>
    <col min="6" max="6" width="15.125" customWidth="1"/>
    <col min="7" max="7" width="17.75" customWidth="1"/>
  </cols>
  <sheetData>
    <row r="4" spans="3:7" x14ac:dyDescent="0.2">
      <c r="C4" s="1" t="s">
        <v>54</v>
      </c>
      <c r="D4" s="60">
        <v>0.1</v>
      </c>
      <c r="E4">
        <v>12000</v>
      </c>
    </row>
    <row r="5" spans="3:7" x14ac:dyDescent="0.2">
      <c r="C5" s="1" t="s">
        <v>55</v>
      </c>
      <c r="D5" s="60">
        <v>0.1</v>
      </c>
      <c r="E5">
        <v>8000</v>
      </c>
    </row>
    <row r="6" spans="3:7" x14ac:dyDescent="0.2">
      <c r="C6" s="1" t="s">
        <v>56</v>
      </c>
      <c r="D6" s="60">
        <v>0.1</v>
      </c>
      <c r="E6">
        <v>5000</v>
      </c>
    </row>
    <row r="7" spans="3:7" x14ac:dyDescent="0.2">
      <c r="C7" s="1" t="s">
        <v>57</v>
      </c>
      <c r="D7" s="60">
        <v>0.1</v>
      </c>
      <c r="E7">
        <v>0</v>
      </c>
    </row>
    <row r="12" spans="3:7" x14ac:dyDescent="0.2">
      <c r="F12" s="1" t="s">
        <v>44</v>
      </c>
      <c r="G12" s="1"/>
    </row>
    <row r="13" spans="3:7" x14ac:dyDescent="0.2">
      <c r="C13" s="1" t="s">
        <v>54</v>
      </c>
      <c r="F13" s="1" t="s">
        <v>54</v>
      </c>
      <c r="G13" s="1">
        <v>2000</v>
      </c>
    </row>
    <row r="14" spans="3:7" x14ac:dyDescent="0.2">
      <c r="C14" s="1" t="s">
        <v>55</v>
      </c>
      <c r="F14" s="1" t="s">
        <v>56</v>
      </c>
      <c r="G14" s="1">
        <v>5000</v>
      </c>
    </row>
    <row r="15" spans="3:7" x14ac:dyDescent="0.2">
      <c r="C15" s="1" t="s">
        <v>56</v>
      </c>
    </row>
    <row r="16" spans="3:7" x14ac:dyDescent="0.2">
      <c r="C16" s="1" t="s">
        <v>57</v>
      </c>
    </row>
    <row r="17" spans="6:7" x14ac:dyDescent="0.2">
      <c r="F17" s="1" t="s">
        <v>32</v>
      </c>
      <c r="G17" s="1"/>
    </row>
    <row r="18" spans="6:7" x14ac:dyDescent="0.2">
      <c r="F18" s="1" t="s">
        <v>54</v>
      </c>
      <c r="G18" s="1">
        <v>10000</v>
      </c>
    </row>
    <row r="19" spans="6:7" x14ac:dyDescent="0.2">
      <c r="F19" s="1" t="s">
        <v>55</v>
      </c>
      <c r="G19" s="1">
        <v>8000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База_ОснНачисления</vt:lpstr>
      <vt:lpstr>База_ДопНачисления</vt:lpstr>
      <vt:lpstr>Разрезы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Si-Zov</dc:creator>
  <cp:keywords/>
  <dc:description/>
  <cp:lastModifiedBy>Prepodavatel</cp:lastModifiedBy>
  <cp:revision/>
  <dcterms:created xsi:type="dcterms:W3CDTF">2008-12-03T09:53:40Z</dcterms:created>
  <dcterms:modified xsi:type="dcterms:W3CDTF">2018-03-05T17:37:49Z</dcterms:modified>
</cp:coreProperties>
</file>